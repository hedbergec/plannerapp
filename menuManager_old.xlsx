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dbe\Dropbox\Papers\Paper.QEDs\Apps\plannerApp\"/>
    </mc:Choice>
  </mc:AlternateContent>
  <xr:revisionPtr revIDLastSave="0" documentId="13_ncr:1_{DACCEB44-AD76-4CB1-B745-26CAA602F590}" xr6:coauthVersionLast="47" xr6:coauthVersionMax="47" xr10:uidLastSave="{00000000-0000-0000-0000-000000000000}"/>
  <bookViews>
    <workbookView xWindow="2940" yWindow="2940" windowWidth="16875" windowHeight="10643" tabRatio="716" xr2:uid="{8D89E9AD-B3C8-4CE6-A909-5B9DBA95DCBB}"/>
  </bookViews>
  <sheets>
    <sheet name="readme" sheetId="11" r:id="rId1"/>
    <sheet name="sample" sheetId="5" r:id="rId2"/>
    <sheet name="design" sheetId="2" r:id="rId3"/>
    <sheet name="inference" sheetId="4" r:id="rId4"/>
    <sheet name="model" sheetId="9" r:id="rId5"/>
    <sheet name="stat" sheetId="3" r:id="rId6"/>
    <sheet name="input" sheetId="1" r:id="rId7"/>
    <sheet name="code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2" i="1"/>
  <c r="A10" i="11"/>
  <c r="A8" i="11"/>
  <c r="A7" i="11"/>
  <c r="A6" i="11"/>
  <c r="A5" i="11"/>
  <c r="A4" i="11"/>
  <c r="A3" i="11"/>
  <c r="Q8" i="1"/>
  <c r="Q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tc={0713FE03-72D3-4E97-9C1A-4F35BCE26CD6}</author>
    <author>tc={C16FA29C-DF1E-443B-B6F4-2B0EAF1F7A79}</author>
    <author>tc={56996333-72A8-4807-9F7B-A26D365E50ED}</author>
    <author>tc={1242266B-8183-4A71-810B-FA35C112B92A}</author>
    <author>tc={AC5243D4-8E3B-4184-AF1F-518836A7A975}</author>
    <author>tc={721899ED-7FCC-4F2B-BB22-844D27DA8843}</author>
    <author>tc={53AAC73E-37CD-4F93-952F-58532973ACC7}</author>
    <author>tc={404E6D2E-D072-435D-810D-184FE609405B}</author>
    <author>tc={1DE218DE-31C8-4B3E-95DD-574166043541}</author>
  </authors>
  <commentList>
    <comment ref="G1" authorId="0" shapeId="0" xr:uid="{0713FE03-72D3-4E97-9C1A-4F35BCE26CD6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desings use which inputs?</t>
      </text>
    </comment>
    <comment ref="I1" authorId="1" shapeId="0" xr:uid="{C16FA29C-DF1E-443B-B6F4-2B0EAF1F7A79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inference sets use which inputs?</t>
      </text>
    </comment>
    <comment ref="J1" authorId="2" shapeId="0" xr:uid="{56996333-72A8-4807-9F7B-A26D365E50E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in no-covariate models?</t>
      </text>
    </comment>
    <comment ref="K1" authorId="3" shapeId="0" xr:uid="{1242266B-8183-4A71-810B-FA35C112B92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in covariate models</t>
      </text>
    </comment>
    <comment ref="L1" authorId="4" shapeId="0" xr:uid="{AC5243D4-8E3B-4184-AF1F-518836A7A97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to compute total sample size?</t>
      </text>
    </comment>
    <comment ref="M1" authorId="5" shapeId="0" xr:uid="{721899ED-7FCC-4F2B-BB22-844D27DA884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to compute df?</t>
      </text>
    </comment>
    <comment ref="N1" authorId="6" shapeId="0" xr:uid="{53AAC73E-37CD-4F93-952F-58532973ACC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in Variance Factor?</t>
      </text>
    </comment>
    <comment ref="Q1" authorId="7" shapeId="0" xr:uid="{404E6D2E-D072-435D-810D-184FE609405B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Value</t>
      </text>
    </comment>
    <comment ref="R1" authorId="8" shapeId="0" xr:uid="{1DE218DE-31C8-4B3E-95DD-5741660435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used yet, but made with excel formula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tc={1275E356-8889-4DE3-A9F1-EFFEAADE9EBC}</author>
  </authors>
  <commentList>
    <comment ref="A1" authorId="0" shapeId="0" xr:uid="{1275E356-8889-4DE3-A9F1-EFFEAADE9EB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string below are the names for the *.R files created</t>
      </text>
    </comment>
  </commentList>
</comments>
</file>

<file path=xl/sharedStrings.xml><?xml version="1.0" encoding="utf-8"?>
<sst xmlns="http://schemas.openxmlformats.org/spreadsheetml/2006/main" count="256" uniqueCount="167">
  <si>
    <t>sample</t>
  </si>
  <si>
    <t>label</t>
  </si>
  <si>
    <t>cross</t>
  </si>
  <si>
    <t>Cross-sectional</t>
  </si>
  <si>
    <t>long</t>
  </si>
  <si>
    <t>Longitudinal</t>
  </si>
  <si>
    <t>design</t>
  </si>
  <si>
    <t>srs</t>
  </si>
  <si>
    <t>Simple random sample</t>
  </si>
  <si>
    <t>blocked</t>
  </si>
  <si>
    <t>Blocked treatments</t>
  </si>
  <si>
    <t>clustered</t>
  </si>
  <si>
    <t>Clustered treatments</t>
  </si>
  <si>
    <t>its</t>
  </si>
  <si>
    <t>Interrupted time series</t>
  </si>
  <si>
    <t>cits</t>
  </si>
  <si>
    <t>Comparative interrupted time series</t>
  </si>
  <si>
    <t>inference</t>
  </si>
  <si>
    <t>fixed</t>
  </si>
  <si>
    <t>Fixed effects</t>
  </si>
  <si>
    <t>random</t>
  </si>
  <si>
    <t>Random effects</t>
  </si>
  <si>
    <t>model</t>
  </si>
  <si>
    <t>nocovariate</t>
  </si>
  <si>
    <t>Without controls</t>
  </si>
  <si>
    <t>covariate</t>
  </si>
  <si>
    <t>With controls</t>
  </si>
  <si>
    <t>stat</t>
  </si>
  <si>
    <t>N</t>
  </si>
  <si>
    <t>Total sample size</t>
  </si>
  <si>
    <t>df</t>
  </si>
  <si>
    <t>Degrees of freedom for test</t>
  </si>
  <si>
    <t>V</t>
  </si>
  <si>
    <t>Variance factor</t>
  </si>
  <si>
    <t>input</t>
  </si>
  <si>
    <t>min</t>
  </si>
  <si>
    <t>max</t>
  </si>
  <si>
    <t>ui_value_range</t>
  </si>
  <si>
    <t>ui_value_exact</t>
  </si>
  <si>
    <t>label_srs</t>
  </si>
  <si>
    <t>label_blocked</t>
  </si>
  <si>
    <t>label_clustered</t>
  </si>
  <si>
    <t>label_its</t>
  </si>
  <si>
    <t>label_cits</t>
  </si>
  <si>
    <t>m</t>
  </si>
  <si>
    <t>Number blocks</t>
  </si>
  <si>
    <t>Number clusters</t>
  </si>
  <si>
    <t>Number longitudinal units</t>
  </si>
  <si>
    <t>mt</t>
  </si>
  <si>
    <t>Treatment number blocks</t>
  </si>
  <si>
    <t>Treatment number clusters</t>
  </si>
  <si>
    <t>Treatment number longitudinal units</t>
  </si>
  <si>
    <t>mc</t>
  </si>
  <si>
    <t>Comparison number blocks</t>
  </si>
  <si>
    <t>Comparison number clusters</t>
  </si>
  <si>
    <t>Comparison number longitudinal units</t>
  </si>
  <si>
    <t>n</t>
  </si>
  <si>
    <t>Number individuals in blocks</t>
  </si>
  <si>
    <t>Number individuals in clusters</t>
  </si>
  <si>
    <t>Number individuals in longitudinal units</t>
  </si>
  <si>
    <t>nt</t>
  </si>
  <si>
    <t>Treatment number of individuals</t>
  </si>
  <si>
    <t>Treatment number of individuals in blocks</t>
  </si>
  <si>
    <t>Treatment number of individuals in clusters</t>
  </si>
  <si>
    <t>Treatment number of individuals in longitudinal units</t>
  </si>
  <si>
    <t>nc</t>
  </si>
  <si>
    <t>Comparison number of individuals</t>
  </si>
  <si>
    <t>Comparison number of individuals in blocks</t>
  </si>
  <si>
    <t>Comparison number of individuals in clusters</t>
  </si>
  <si>
    <t>Comparison number of individuals in longitudinal units</t>
  </si>
  <si>
    <t>pretime</t>
  </si>
  <si>
    <t>Number timepoints before treatment</t>
  </si>
  <si>
    <t>posttime</t>
  </si>
  <si>
    <t>Number timepoints after treatment</t>
  </si>
  <si>
    <t>icc</t>
  </si>
  <si>
    <t>intraclass correlation</t>
  </si>
  <si>
    <t>R2_1</t>
  </si>
  <si>
    <t>Outcome variance reduction in outcome</t>
  </si>
  <si>
    <t>Outcome variance reduction in outcome (individuals)</t>
  </si>
  <si>
    <t>R2_2</t>
  </si>
  <si>
    <t>Outcome variance reduction in outcome (blocks)</t>
  </si>
  <si>
    <t>Outcome variance reduction in outcome (clusters)</t>
  </si>
  <si>
    <t>Outcome variance reduction in outcome (longitudinal units)</t>
  </si>
  <si>
    <t>ar</t>
  </si>
  <si>
    <t xml:space="preserve">First-order autocorrelation </t>
  </si>
  <si>
    <t>q</t>
  </si>
  <si>
    <t>Number covariates</t>
  </si>
  <si>
    <t>Q2</t>
  </si>
  <si>
    <t>Covariate-treatment effect correlation (squared)</t>
  </si>
  <si>
    <t>tau2</t>
  </si>
  <si>
    <t>Variance of treatment effects across blocks</t>
  </si>
  <si>
    <t>Variance of treatment effects across clusters</t>
  </si>
  <si>
    <t>Variance of treatment effects across longitudinal units</t>
  </si>
  <si>
    <t>function_name</t>
  </si>
  <si>
    <t>srs_fixed_nocovariate_N</t>
  </si>
  <si>
    <t>N &lt;- nt+nc</t>
  </si>
  <si>
    <t>srs_fixed_nocovariate_df</t>
  </si>
  <si>
    <t>df &lt;- nt+nc-2</t>
  </si>
  <si>
    <t>srs_fixed_nocovariate_V</t>
  </si>
  <si>
    <t>p &lt;- nt/(nt+nc)</t>
  </si>
  <si>
    <t>V &lt;- (nt+nc)*p*(1-p)</t>
  </si>
  <si>
    <t>srs_fixed_covariate_N</t>
  </si>
  <si>
    <t>srs_fixed_covariate_df</t>
  </si>
  <si>
    <t>df &lt;- nt+nc-2-q</t>
  </si>
  <si>
    <t>srs_fixed_covariate_V</t>
  </si>
  <si>
    <t>V &lt;- (nt+nc)*p*(1-p)*(1/(1-R2_1))</t>
  </si>
  <si>
    <t>blocked_fixed_nocovariate_N</t>
  </si>
  <si>
    <t>N &lt;- m*(nt+nc)</t>
  </si>
  <si>
    <t>blocked_fixed_nocovariate_df</t>
  </si>
  <si>
    <t>df &lt;- N-2*m</t>
  </si>
  <si>
    <t>blocked_fixed_nocovariate_V</t>
  </si>
  <si>
    <t>iccbar &lt;- 1-icc</t>
  </si>
  <si>
    <t>nbar &lt;- 2/(1/nt+1/nc)</t>
  </si>
  <si>
    <t>V &lt;- 1/((iccbar+nbar*iccbar*(nc+nt))/(m*nc*nt))</t>
  </si>
  <si>
    <t>blocked_fixed_covariate_N</t>
  </si>
  <si>
    <t>blocked_fixed_covariate_df</t>
  </si>
  <si>
    <t>df &lt;- N-2*m-q</t>
  </si>
  <si>
    <t>blocked_fixed_covariate_V</t>
  </si>
  <si>
    <t>V &lt;-1/(((1-R2_1)*iccbar+nbar*iccbar*(nc+nt))/(m*nc*nt))</t>
  </si>
  <si>
    <t>blocked_random_nocovariate_N</t>
  </si>
  <si>
    <t>blocked_random_nocovariate_df</t>
  </si>
  <si>
    <t>df &lt;- result &lt;- nbar*m - 2</t>
  </si>
  <si>
    <t>blocked_random_nocovariate_V</t>
  </si>
  <si>
    <t>V &lt;- 1/((iccbar+nbar*tau2*(nc+nt))/(m*nc*nt))</t>
  </si>
  <si>
    <t>blocked_random_covariate_N</t>
  </si>
  <si>
    <t>blocked_random_covariate_df</t>
  </si>
  <si>
    <t>df &lt;- result &lt;- nbar*m - 2 - q</t>
  </si>
  <si>
    <t>blocked_random_covariate_V</t>
  </si>
  <si>
    <t>V &lt;- 1/(((1-R2_1)*iccbar+(1-Q2)*nbar*tau2*iccbar*(nc+nt))/(m*nc*nt))</t>
  </si>
  <si>
    <t>clustered_random_nocovariate_N</t>
  </si>
  <si>
    <t>N &lt;- n*(mt+mc)</t>
  </si>
  <si>
    <t>clustered_random_nocovariate_df</t>
  </si>
  <si>
    <t xml:space="preserve">df &lt;- mt + mc - 2 </t>
  </si>
  <si>
    <t>clustered_random_nocovariate_V</t>
  </si>
  <si>
    <t>p &lt;- mt/(mt+mc)</t>
  </si>
  <si>
    <t>de &lt;- 1+(n-1)*icc</t>
  </si>
  <si>
    <t>V &lt;- 1/(de/(p*(1-p)*(mt+mc)*n))</t>
  </si>
  <si>
    <t>clustered_random_covariate_N</t>
  </si>
  <si>
    <t>clustered_random_covariate_df</t>
  </si>
  <si>
    <t>mt + mc - 2 - q</t>
  </si>
  <si>
    <t>clustered_random_covariate_V</t>
  </si>
  <si>
    <t>de &lt;- 1+(n-1)*icc-(R2_1+(n*R2_2-R2_1)*icc)</t>
  </si>
  <si>
    <t>its_fixed_nocovariate_N</t>
  </si>
  <si>
    <t>its_fixed_nocovariate_df</t>
  </si>
  <si>
    <t>its_fixed_nocovariate_V</t>
  </si>
  <si>
    <t>cits_fixed_nocovariate_N</t>
  </si>
  <si>
    <t>cits_fixed_nocovariate_df</t>
  </si>
  <si>
    <t>cits_fixed_nocovariate_V</t>
  </si>
  <si>
    <t>did</t>
  </si>
  <si>
    <t>Difference in Difference</t>
  </si>
  <si>
    <t>label_did</t>
  </si>
  <si>
    <t xml:space="preserve">Correlation between pre- and post-test </t>
  </si>
  <si>
    <t>did_fixed_nocovariate_N</t>
  </si>
  <si>
    <t>did_fixed_nocovariate_df</t>
  </si>
  <si>
    <t>did_fixed_nocovariate_V</t>
  </si>
  <si>
    <t>V &lt;- (nt*nc)/(nt+nc)*(1/(2*(1-ar)))</t>
  </si>
  <si>
    <t>This excel file drives the creation of menus for the planner app.</t>
  </si>
  <si>
    <t>There are several sheets the contain mostly T/F statements, but also defaults and even R code.</t>
  </si>
  <si>
    <t>&lt;- This sheet labels the designs with keywords and maps them to types of samples</t>
  </si>
  <si>
    <t>&lt;- This sheet notes which types of inference are available for which designs</t>
  </si>
  <si>
    <t>&lt;- This sheet notes which types of models (i.e., with or without covariates) are available for which designs</t>
  </si>
  <si>
    <t>&lt;- This sheet notes which designs need which elements of the NCP, they all need all</t>
  </si>
  <si>
    <t>&lt;- This sheet literally has R code across columns for each function organized by row</t>
  </si>
  <si>
    <t>Also included are labels for the shiny app (last columns)</t>
  </si>
  <si>
    <t>If something is funky, check the code</t>
  </si>
  <si>
    <t>&lt;- The sheet labels which designs are cross-sectional and which are longitudinal and keys to words like 'cross'</t>
  </si>
  <si>
    <t>&lt;- This sheet notes which designs, inference, model, etc., need which elements for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</si>
</sst>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. C. Hedberg" id="{65A658BA-1FAC-4714-A260-E36CAA09F76D}" userId="2a678a435b491d9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1-07-10T01:04:10.84" personId="{65A658BA-1FAC-4714-A260-E36CAA09F76D}" id="{0713FE03-72D3-4E97-9C1A-4F35BCE26CD6}">
    <text>which desings use which inputs?</text>
  </threadedComment>
  <threadedComment ref="I1" dT="2021-07-10T01:04:37.05" personId="{65A658BA-1FAC-4714-A260-E36CAA09F76D}" id="{C16FA29C-DF1E-443B-B6F4-2B0EAF1F7A79}">
    <text>which inference sets use which inputs?</text>
  </threadedComment>
  <threadedComment ref="J1" dT="2021-07-10T00:55:47.10" personId="{65A658BA-1FAC-4714-A260-E36CAA09F76D}" id="{56996333-72A8-4807-9F7B-A26D365E50ED}">
    <text>used in no-covariate models?</text>
  </threadedComment>
  <threadedComment ref="K1" dT="2021-07-10T00:55:19.43" personId="{65A658BA-1FAC-4714-A260-E36CAA09F76D}" id="{1242266B-8183-4A71-810B-FA35C112B92A}">
    <text>used in covariate models</text>
  </threadedComment>
  <threadedComment ref="L1" dT="2021-07-10T00:55:08.33" personId="{65A658BA-1FAC-4714-A260-E36CAA09F76D}" id="{AC5243D4-8E3B-4184-AF1F-518836A7A975}">
    <text>used to compute total sample size?</text>
  </threadedComment>
  <threadedComment ref="M1" dT="2021-07-10T00:54:10.24" personId="{65A658BA-1FAC-4714-A260-E36CAA09F76D}" id="{721899ED-7FCC-4F2B-BB22-844D27DA8843}">
    <text>used to compute df?</text>
  </threadedComment>
  <threadedComment ref="N1" dT="2021-07-10T00:53:59.73" personId="{65A658BA-1FAC-4714-A260-E36CAA09F76D}" id="{53AAC73E-37CD-4F93-952F-58532973ACC7}">
    <text>Used in Variance Factor?</text>
  </threadedComment>
  <threadedComment ref="Q1" dT="2021-07-10T00:53:45.02" personId="{65A658BA-1FAC-4714-A260-E36CAA09F76D}" id="{404E6D2E-D072-435D-810D-184FE609405B}">
    <text>Default Value</text>
  </threadedComment>
  <threadedComment ref="R1" dT="2021-07-10T00:53:30.43" personId="{65A658BA-1FAC-4714-A260-E36CAA09F76D}" id="{1DE218DE-31C8-4B3E-95DD-574166043541}">
    <text>Not used yet, but made with excel formula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1-07-10T01:03:40.46" personId="{65A658BA-1FAC-4714-A260-E36CAA09F76D}" id="{1275E356-8889-4DE3-A9F1-EFFEAADE9EBC}">
    <text>the string below are the names for the *.R files created</text>
  </threadedComment>
</ThreadedComment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3392-495A-4716-B7D0-8CB1570246E2}">
  <dimension ref="A1:C11"/>
  <sheetViews>
    <sheetView tabSelected="1" workbookViewId="0">
      <selection activeCell="B8" sqref="B8"/>
    </sheetView>
  </sheetViews>
  <sheetFormatPr defaultRowHeight="14.25" x14ac:dyDescent="0.45"/>
  <cols>
    <col min="1" max="1" width="21.59765625" customWidth="1"/>
  </cols>
  <sheetData>
    <row r="1" spans="1:3" x14ac:dyDescent="0.45">
      <c r="A1" t="s">
        <v>156</v>
      </c>
    </row>
    <row r="2" spans="1:3" x14ac:dyDescent="0.45">
      <c r="A2" t="s">
        <v>157</v>
      </c>
    </row>
    <row r="3" spans="1:3" x14ac:dyDescent="0.45">
      <c r="A3" s="3" t="str">
        <f>HYPERLINK(sample!A1)</f>
        <v>sample</v>
      </c>
      <c r="B3" t="s">
        <v>165</v>
      </c>
    </row>
    <row r="4" spans="1:3" x14ac:dyDescent="0.45">
      <c r="A4" s="3" t="str">
        <f>HYPERLINK(design!A1)</f>
        <v>design</v>
      </c>
      <c r="B4" t="s">
        <v>158</v>
      </c>
    </row>
    <row r="5" spans="1:3" x14ac:dyDescent="0.45">
      <c r="A5" s="3" t="str">
        <f>HYPERLINK(inference!A1)</f>
        <v>inference</v>
      </c>
      <c r="B5" t="s">
        <v>159</v>
      </c>
    </row>
    <row r="6" spans="1:3" x14ac:dyDescent="0.45">
      <c r="A6" s="3" t="str">
        <f>HYPERLINK(model!A1)</f>
        <v>model</v>
      </c>
      <c r="B6" t="s">
        <v>160</v>
      </c>
    </row>
    <row r="7" spans="1:3" x14ac:dyDescent="0.45">
      <c r="A7" s="3" t="str">
        <f>HYPERLINK(stat!A1)</f>
        <v>stat</v>
      </c>
      <c r="B7" t="s">
        <v>161</v>
      </c>
    </row>
    <row r="8" spans="1:3" x14ac:dyDescent="0.45">
      <c r="A8" s="3" t="str">
        <f>HYPERLINK(input!A1)</f>
        <v>input</v>
      </c>
      <c r="B8" t="s">
        <v>166</v>
      </c>
    </row>
    <row r="9" spans="1:3" x14ac:dyDescent="0.45">
      <c r="A9" s="3"/>
      <c r="C9" t="s">
        <v>163</v>
      </c>
    </row>
    <row r="10" spans="1:3" x14ac:dyDescent="0.45">
      <c r="A10" s="3" t="str">
        <f>HYPERLINK(code!A1,"code")</f>
        <v>code</v>
      </c>
      <c r="B10" t="s">
        <v>162</v>
      </c>
    </row>
    <row r="11" spans="1:3" x14ac:dyDescent="0.45">
      <c r="C11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0447-8401-42C5-BE02-401F505AE938}">
  <dimension ref="A1:B3"/>
  <sheetViews>
    <sheetView workbookViewId="0">
      <selection activeCell="B4" sqref="B4"/>
    </sheetView>
  </sheetViews>
  <sheetFormatPr defaultColWidth="8.86328125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0D0E-E4D1-469A-AF1F-085E17D5518F}">
  <dimension ref="A1:D7"/>
  <sheetViews>
    <sheetView workbookViewId="0">
      <selection activeCell="D10" sqref="D10"/>
    </sheetView>
  </sheetViews>
  <sheetFormatPr defaultColWidth="8.86328125" defaultRowHeight="14.25" x14ac:dyDescent="0.45"/>
  <cols>
    <col min="2" max="2" width="29.3984375" bestFit="1" customWidth="1"/>
  </cols>
  <sheetData>
    <row r="1" spans="1:4" x14ac:dyDescent="0.45">
      <c r="A1" t="s">
        <v>6</v>
      </c>
      <c r="B1" t="s">
        <v>1</v>
      </c>
      <c r="C1" t="s">
        <v>2</v>
      </c>
      <c r="D1" t="s">
        <v>4</v>
      </c>
    </row>
    <row r="2" spans="1:4" x14ac:dyDescent="0.45">
      <c r="A2" t="s">
        <v>7</v>
      </c>
      <c r="B2" t="s">
        <v>8</v>
      </c>
      <c r="C2" t="b">
        <v>1</v>
      </c>
    </row>
    <row r="3" spans="1:4" x14ac:dyDescent="0.45">
      <c r="A3" t="s">
        <v>9</v>
      </c>
      <c r="B3" t="s">
        <v>10</v>
      </c>
      <c r="C3" t="b">
        <v>1</v>
      </c>
    </row>
    <row r="4" spans="1:4" x14ac:dyDescent="0.45">
      <c r="A4" t="s">
        <v>11</v>
      </c>
      <c r="B4" t="s">
        <v>12</v>
      </c>
      <c r="C4" t="b">
        <v>1</v>
      </c>
    </row>
    <row r="5" spans="1:4" x14ac:dyDescent="0.45">
      <c r="A5" t="s">
        <v>13</v>
      </c>
      <c r="B5" t="s">
        <v>14</v>
      </c>
      <c r="D5" t="b">
        <v>0</v>
      </c>
    </row>
    <row r="6" spans="1:4" x14ac:dyDescent="0.45">
      <c r="A6" t="s">
        <v>15</v>
      </c>
      <c r="B6" t="s">
        <v>16</v>
      </c>
      <c r="D6" t="b">
        <v>0</v>
      </c>
    </row>
    <row r="7" spans="1:4" x14ac:dyDescent="0.45">
      <c r="A7" t="s">
        <v>148</v>
      </c>
      <c r="B7" t="s">
        <v>149</v>
      </c>
      <c r="D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AD60-7AB8-4CAF-9726-0F1707E818DE}">
  <dimension ref="A1:H3"/>
  <sheetViews>
    <sheetView workbookViewId="0">
      <selection activeCell="H2" sqref="H2"/>
    </sheetView>
  </sheetViews>
  <sheetFormatPr defaultColWidth="8.86328125" defaultRowHeight="14.25" x14ac:dyDescent="0.45"/>
  <cols>
    <col min="2" max="2" width="15" bestFit="1" customWidth="1"/>
    <col min="3" max="3" width="5.1328125" customWidth="1"/>
  </cols>
  <sheetData>
    <row r="1" spans="1:8" x14ac:dyDescent="0.45">
      <c r="A1" t="s">
        <v>17</v>
      </c>
      <c r="B1" t="s">
        <v>1</v>
      </c>
      <c r="C1" t="s">
        <v>7</v>
      </c>
      <c r="D1" t="s">
        <v>9</v>
      </c>
      <c r="E1" t="s">
        <v>11</v>
      </c>
      <c r="F1" t="s">
        <v>13</v>
      </c>
      <c r="G1" t="s">
        <v>15</v>
      </c>
      <c r="H1" t="s">
        <v>148</v>
      </c>
    </row>
    <row r="2" spans="1:8" x14ac:dyDescent="0.45">
      <c r="A2" t="s">
        <v>18</v>
      </c>
      <c r="B2" t="s">
        <v>19</v>
      </c>
      <c r="C2" t="b">
        <v>1</v>
      </c>
      <c r="D2" t="b">
        <v>1</v>
      </c>
      <c r="F2" t="b">
        <v>1</v>
      </c>
      <c r="G2" t="b">
        <v>1</v>
      </c>
      <c r="H2" t="b">
        <v>1</v>
      </c>
    </row>
    <row r="3" spans="1:8" x14ac:dyDescent="0.45">
      <c r="A3" t="s">
        <v>20</v>
      </c>
      <c r="B3" t="s">
        <v>21</v>
      </c>
      <c r="D3" t="b">
        <v>1</v>
      </c>
      <c r="E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38A5-C062-40CB-BD39-4466E5E1974A}">
  <dimension ref="A1:H3"/>
  <sheetViews>
    <sheetView workbookViewId="0">
      <selection activeCell="I2" sqref="I2"/>
    </sheetView>
  </sheetViews>
  <sheetFormatPr defaultColWidth="8.86328125" defaultRowHeight="14.25" x14ac:dyDescent="0.45"/>
  <cols>
    <col min="1" max="1" width="11.3984375" bestFit="1" customWidth="1"/>
    <col min="2" max="2" width="16.1328125" bestFit="1" customWidth="1"/>
    <col min="3" max="3" width="5.3984375" bestFit="1" customWidth="1"/>
  </cols>
  <sheetData>
    <row r="1" spans="1:8" x14ac:dyDescent="0.45">
      <c r="A1" t="s">
        <v>22</v>
      </c>
      <c r="B1" t="s">
        <v>1</v>
      </c>
      <c r="C1" t="s">
        <v>7</v>
      </c>
      <c r="D1" t="s">
        <v>9</v>
      </c>
      <c r="E1" t="s">
        <v>11</v>
      </c>
      <c r="F1" t="s">
        <v>13</v>
      </c>
      <c r="G1" t="s">
        <v>15</v>
      </c>
      <c r="H1" t="s">
        <v>148</v>
      </c>
    </row>
    <row r="2" spans="1:8" x14ac:dyDescent="0.45">
      <c r="A2" t="s">
        <v>23</v>
      </c>
      <c r="B2" t="s">
        <v>24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</row>
    <row r="3" spans="1:8" x14ac:dyDescent="0.45">
      <c r="A3" t="s">
        <v>25</v>
      </c>
      <c r="B3" t="s">
        <v>26</v>
      </c>
      <c r="C3" t="b">
        <v>1</v>
      </c>
      <c r="D3" t="b">
        <v>1</v>
      </c>
      <c r="E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6200-6D5D-404E-9AA4-2D83AC7E89FD}">
  <dimension ref="A1:H4"/>
  <sheetViews>
    <sheetView workbookViewId="0">
      <selection activeCell="F12" sqref="F12"/>
    </sheetView>
  </sheetViews>
  <sheetFormatPr defaultColWidth="8.86328125" defaultRowHeight="14.25" x14ac:dyDescent="0.45"/>
  <cols>
    <col min="2" max="2" width="22.6640625" bestFit="1" customWidth="1"/>
    <col min="3" max="3" width="12" customWidth="1"/>
  </cols>
  <sheetData>
    <row r="1" spans="1:8" x14ac:dyDescent="0.45">
      <c r="A1" t="s">
        <v>27</v>
      </c>
      <c r="B1" t="s">
        <v>1</v>
      </c>
      <c r="C1" t="s">
        <v>7</v>
      </c>
      <c r="D1" t="s">
        <v>9</v>
      </c>
      <c r="E1" t="s">
        <v>11</v>
      </c>
      <c r="F1" t="s">
        <v>13</v>
      </c>
      <c r="G1" t="s">
        <v>15</v>
      </c>
      <c r="H1" t="s">
        <v>148</v>
      </c>
    </row>
    <row r="2" spans="1:8" x14ac:dyDescent="0.45">
      <c r="A2" t="s">
        <v>28</v>
      </c>
      <c r="B2" t="s">
        <v>29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</row>
    <row r="3" spans="1:8" x14ac:dyDescent="0.45">
      <c r="A3" t="s">
        <v>30</v>
      </c>
      <c r="B3" t="s">
        <v>31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</row>
    <row r="4" spans="1:8" x14ac:dyDescent="0.45">
      <c r="A4" t="s">
        <v>32</v>
      </c>
      <c r="B4" t="s">
        <v>33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B87C-0BDF-4509-A80F-252767BE3B26}">
  <dimension ref="A1:X16"/>
  <sheetViews>
    <sheetView workbookViewId="0">
      <pane xSplit="1" topLeftCell="V1" activePane="topRight" state="frozen"/>
      <selection pane="topRight"/>
    </sheetView>
  </sheetViews>
  <sheetFormatPr defaultColWidth="9.1328125" defaultRowHeight="14.25" x14ac:dyDescent="0.45"/>
  <cols>
    <col min="1" max="1" width="9" style="1" bestFit="1" customWidth="1"/>
    <col min="2" max="2" width="9" style="1" customWidth="1"/>
    <col min="3" max="3" width="8" style="1" bestFit="1" customWidth="1"/>
    <col min="4" max="4" width="9.265625" style="1" bestFit="1" customWidth="1"/>
    <col min="5" max="6" width="5.3984375" style="1" bestFit="1" customWidth="1"/>
    <col min="7" max="7" width="5.3984375" style="1" customWidth="1"/>
    <col min="8" max="9" width="7.86328125" style="1" bestFit="1" customWidth="1"/>
    <col min="10" max="10" width="10" style="1" bestFit="1" customWidth="1"/>
    <col min="11" max="11" width="9.1328125" style="1" bestFit="1" customWidth="1"/>
    <col min="12" max="14" width="7.86328125" style="1" customWidth="1"/>
    <col min="15" max="16" width="9.1328125" style="1" customWidth="1"/>
    <col min="17" max="17" width="14.3984375" style="1" bestFit="1" customWidth="1"/>
    <col min="18" max="18" width="14.73046875" style="1" bestFit="1" customWidth="1"/>
    <col min="19" max="21" width="49.265625" style="1" bestFit="1" customWidth="1"/>
    <col min="22" max="23" width="55.3984375" style="1" bestFit="1" customWidth="1"/>
    <col min="24" max="16384" width="9.1328125" style="1"/>
  </cols>
  <sheetData>
    <row r="1" spans="1:24" x14ac:dyDescent="0.45">
      <c r="A1" s="1" t="s">
        <v>34</v>
      </c>
      <c r="B1" s="1" t="s">
        <v>7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148</v>
      </c>
      <c r="H1" s="1" t="s">
        <v>18</v>
      </c>
      <c r="I1" s="1" t="s">
        <v>20</v>
      </c>
      <c r="J1" s="1" t="s">
        <v>23</v>
      </c>
      <c r="K1" s="1" t="s">
        <v>25</v>
      </c>
      <c r="L1" s="1" t="s">
        <v>28</v>
      </c>
      <c r="M1" s="1" t="s">
        <v>30</v>
      </c>
      <c r="N1" s="1" t="s">
        <v>32</v>
      </c>
      <c r="O1" s="1" t="s">
        <v>35</v>
      </c>
      <c r="P1" s="1" t="s">
        <v>36</v>
      </c>
      <c r="Q1" s="1" t="s">
        <v>38</v>
      </c>
      <c r="R1" s="1" t="s">
        <v>37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150</v>
      </c>
    </row>
    <row r="2" spans="1:24" x14ac:dyDescent="0.45">
      <c r="A2" s="1" t="s">
        <v>44</v>
      </c>
      <c r="C2" s="1" t="b">
        <v>1</v>
      </c>
      <c r="E2" s="1" t="b">
        <v>1</v>
      </c>
      <c r="H2" s="1" t="b">
        <v>1</v>
      </c>
      <c r="I2" s="1" t="b">
        <v>1</v>
      </c>
      <c r="J2" s="1" t="b">
        <v>1</v>
      </c>
      <c r="K2" s="1" t="b">
        <v>1</v>
      </c>
      <c r="L2" s="1" t="b">
        <v>1</v>
      </c>
      <c r="M2" s="1" t="b">
        <v>1</v>
      </c>
      <c r="N2" s="1" t="b">
        <v>1</v>
      </c>
      <c r="O2" s="1">
        <v>4</v>
      </c>
      <c r="P2" s="1">
        <v>40</v>
      </c>
      <c r="Q2" s="1">
        <v>10</v>
      </c>
      <c r="R2" s="1" t="str">
        <f>_xlfn.CONCAT("c(",O2,",",P2,")")</f>
        <v>c(4,40)</v>
      </c>
      <c r="T2" s="1" t="s">
        <v>45</v>
      </c>
      <c r="U2" s="1" t="s">
        <v>46</v>
      </c>
      <c r="V2" s="1" t="s">
        <v>47</v>
      </c>
      <c r="W2" s="1" t="s">
        <v>47</v>
      </c>
    </row>
    <row r="3" spans="1:24" x14ac:dyDescent="0.45">
      <c r="A3" s="1" t="s">
        <v>48</v>
      </c>
      <c r="D3" s="1" t="b">
        <v>1</v>
      </c>
      <c r="F3" s="1" t="b">
        <v>1</v>
      </c>
      <c r="H3" s="1" t="b">
        <v>1</v>
      </c>
      <c r="I3" s="1" t="b">
        <v>1</v>
      </c>
      <c r="J3" s="1" t="b">
        <v>1</v>
      </c>
      <c r="K3" s="1" t="b">
        <v>1</v>
      </c>
      <c r="L3" s="1" t="b">
        <v>1</v>
      </c>
      <c r="M3" s="1" t="b">
        <v>1</v>
      </c>
      <c r="N3" s="1" t="b">
        <v>1</v>
      </c>
      <c r="O3" s="1">
        <v>2</v>
      </c>
      <c r="P3" s="1">
        <v>40</v>
      </c>
      <c r="Q3" s="1">
        <v>5</v>
      </c>
      <c r="R3" s="1" t="str">
        <f t="shared" ref="R3:R16" si="0">_xlfn.CONCAT("c(",O3,",",P3,")")</f>
        <v>c(2,40)</v>
      </c>
      <c r="T3" s="1" t="s">
        <v>49</v>
      </c>
      <c r="U3" s="1" t="s">
        <v>50</v>
      </c>
      <c r="V3" s="1" t="s">
        <v>51</v>
      </c>
      <c r="W3" s="1" t="s">
        <v>51</v>
      </c>
    </row>
    <row r="4" spans="1:24" x14ac:dyDescent="0.45">
      <c r="A4" s="1" t="s">
        <v>52</v>
      </c>
      <c r="D4" s="1" t="b">
        <v>1</v>
      </c>
      <c r="F4" s="1" t="b">
        <v>1</v>
      </c>
      <c r="H4" s="1" t="b">
        <v>1</v>
      </c>
      <c r="I4" s="1" t="b">
        <v>1</v>
      </c>
      <c r="J4" s="1" t="b">
        <v>1</v>
      </c>
      <c r="K4" s="1" t="b">
        <v>1</v>
      </c>
      <c r="L4" s="1" t="b">
        <v>1</v>
      </c>
      <c r="M4" s="1" t="b">
        <v>1</v>
      </c>
      <c r="N4" s="1" t="b">
        <v>1</v>
      </c>
      <c r="O4" s="1">
        <v>2</v>
      </c>
      <c r="P4" s="1">
        <v>40</v>
      </c>
      <c r="Q4" s="1">
        <v>5</v>
      </c>
      <c r="R4" s="1" t="str">
        <f t="shared" si="0"/>
        <v>c(2,40)</v>
      </c>
      <c r="T4" s="1" t="s">
        <v>53</v>
      </c>
      <c r="U4" s="1" t="s">
        <v>54</v>
      </c>
      <c r="V4" s="1" t="s">
        <v>55</v>
      </c>
      <c r="W4" s="1" t="s">
        <v>55</v>
      </c>
    </row>
    <row r="5" spans="1:24" x14ac:dyDescent="0.45">
      <c r="A5" s="1" t="s">
        <v>56</v>
      </c>
      <c r="D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1</v>
      </c>
      <c r="M5" s="1" t="b">
        <v>1</v>
      </c>
      <c r="N5" s="1" t="b">
        <v>1</v>
      </c>
      <c r="O5" s="1">
        <v>4</v>
      </c>
      <c r="P5" s="1">
        <v>150</v>
      </c>
      <c r="Q5" s="1">
        <v>40</v>
      </c>
      <c r="R5" s="1" t="str">
        <f t="shared" si="0"/>
        <v>c(4,150)</v>
      </c>
      <c r="T5" s="1" t="s">
        <v>57</v>
      </c>
      <c r="U5" s="1" t="s">
        <v>58</v>
      </c>
      <c r="V5" s="1" t="s">
        <v>59</v>
      </c>
      <c r="W5" s="1" t="s">
        <v>59</v>
      </c>
    </row>
    <row r="6" spans="1:24" x14ac:dyDescent="0.45">
      <c r="A6" s="1" t="s">
        <v>60</v>
      </c>
      <c r="B6" s="1" t="b">
        <v>1</v>
      </c>
      <c r="C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 t="b">
        <v>1</v>
      </c>
      <c r="M6" s="1" t="b">
        <v>1</v>
      </c>
      <c r="N6" s="1" t="b">
        <v>1</v>
      </c>
      <c r="O6" s="1">
        <v>2</v>
      </c>
      <c r="P6" s="1">
        <v>150</v>
      </c>
      <c r="Q6" s="1">
        <v>20</v>
      </c>
      <c r="R6" s="1" t="str">
        <f t="shared" si="0"/>
        <v>c(2,150)</v>
      </c>
      <c r="S6" s="1" t="s">
        <v>61</v>
      </c>
      <c r="T6" s="1" t="s">
        <v>62</v>
      </c>
      <c r="U6" s="1" t="s">
        <v>63</v>
      </c>
      <c r="V6" s="1" t="s">
        <v>64</v>
      </c>
      <c r="W6" s="1" t="s">
        <v>64</v>
      </c>
      <c r="X6" s="1" t="s">
        <v>61</v>
      </c>
    </row>
    <row r="7" spans="1:24" x14ac:dyDescent="0.45">
      <c r="A7" s="1" t="s">
        <v>65</v>
      </c>
      <c r="B7" s="1" t="b">
        <v>1</v>
      </c>
      <c r="C7" s="1" t="b">
        <v>1</v>
      </c>
      <c r="G7" s="1" t="b">
        <v>1</v>
      </c>
      <c r="H7" s="1" t="b">
        <v>1</v>
      </c>
      <c r="I7" s="1" t="b">
        <v>1</v>
      </c>
      <c r="J7" s="1" t="b">
        <v>1</v>
      </c>
      <c r="K7" s="1" t="b">
        <v>1</v>
      </c>
      <c r="L7" s="1" t="b">
        <v>1</v>
      </c>
      <c r="M7" s="1" t="b">
        <v>1</v>
      </c>
      <c r="N7" s="1" t="b">
        <v>1</v>
      </c>
      <c r="O7" s="1">
        <v>2</v>
      </c>
      <c r="P7" s="1">
        <v>150</v>
      </c>
      <c r="Q7" s="1">
        <v>20</v>
      </c>
      <c r="R7" s="1" t="str">
        <f t="shared" si="0"/>
        <v>c(2,150)</v>
      </c>
      <c r="S7" s="1" t="s">
        <v>66</v>
      </c>
      <c r="T7" s="1" t="s">
        <v>67</v>
      </c>
      <c r="U7" s="1" t="s">
        <v>68</v>
      </c>
      <c r="V7" s="1" t="s">
        <v>69</v>
      </c>
      <c r="W7" s="1" t="s">
        <v>69</v>
      </c>
      <c r="X7" s="1" t="s">
        <v>66</v>
      </c>
    </row>
    <row r="8" spans="1:24" x14ac:dyDescent="0.45">
      <c r="A8" s="1" t="s">
        <v>70</v>
      </c>
      <c r="E8" s="1" t="b">
        <v>1</v>
      </c>
      <c r="F8" s="1" t="b">
        <v>1</v>
      </c>
      <c r="H8" s="1" t="b">
        <v>1</v>
      </c>
      <c r="I8" s="1" t="b">
        <v>1</v>
      </c>
      <c r="J8" s="1" t="b">
        <v>1</v>
      </c>
      <c r="K8" s="1" t="b">
        <v>1</v>
      </c>
      <c r="L8" s="1" t="b">
        <v>1</v>
      </c>
      <c r="M8" s="1" t="b">
        <v>1</v>
      </c>
      <c r="N8" s="1" t="b">
        <v>1</v>
      </c>
      <c r="O8" s="1">
        <v>2</v>
      </c>
      <c r="P8" s="1">
        <v>100</v>
      </c>
      <c r="Q8" s="1">
        <f>O8+2</f>
        <v>4</v>
      </c>
      <c r="R8" s="1" t="str">
        <f t="shared" si="0"/>
        <v>c(2,100)</v>
      </c>
      <c r="T8" s="1" t="s">
        <v>71</v>
      </c>
      <c r="U8" s="1" t="s">
        <v>71</v>
      </c>
      <c r="V8" s="1" t="s">
        <v>71</v>
      </c>
      <c r="W8" s="1" t="s">
        <v>71</v>
      </c>
    </row>
    <row r="9" spans="1:24" x14ac:dyDescent="0.45">
      <c r="A9" s="1" t="s">
        <v>72</v>
      </c>
      <c r="E9" s="1" t="b">
        <v>1</v>
      </c>
      <c r="F9" s="1" t="b">
        <v>1</v>
      </c>
      <c r="H9" s="1" t="b">
        <v>1</v>
      </c>
      <c r="I9" s="1" t="b">
        <v>1</v>
      </c>
      <c r="J9" s="1" t="b">
        <v>1</v>
      </c>
      <c r="K9" s="1" t="b">
        <v>1</v>
      </c>
      <c r="L9" s="1" t="b">
        <v>1</v>
      </c>
      <c r="M9" s="1" t="b">
        <v>1</v>
      </c>
      <c r="N9" s="1" t="b">
        <v>1</v>
      </c>
      <c r="O9" s="1">
        <v>2</v>
      </c>
      <c r="P9" s="1">
        <v>100</v>
      </c>
      <c r="Q9" s="1">
        <f>O9+2</f>
        <v>4</v>
      </c>
      <c r="R9" s="1" t="str">
        <f t="shared" si="0"/>
        <v>c(2,100)</v>
      </c>
      <c r="T9" s="1" t="s">
        <v>73</v>
      </c>
      <c r="U9" s="1" t="s">
        <v>73</v>
      </c>
      <c r="V9" s="1" t="s">
        <v>73</v>
      </c>
      <c r="W9" s="1" t="s">
        <v>73</v>
      </c>
    </row>
    <row r="10" spans="1:24" x14ac:dyDescent="0.45">
      <c r="A10" s="1" t="s">
        <v>74</v>
      </c>
      <c r="C10" s="1" t="b">
        <v>1</v>
      </c>
      <c r="D10" s="1" t="b">
        <v>1</v>
      </c>
      <c r="E10" s="1" t="b">
        <v>1</v>
      </c>
      <c r="F10" s="1" t="b">
        <v>1</v>
      </c>
      <c r="H10" s="1" t="b">
        <v>1</v>
      </c>
      <c r="I10" s="1" t="b">
        <v>1</v>
      </c>
      <c r="J10" s="1" t="b">
        <v>1</v>
      </c>
      <c r="K10" s="1" t="b">
        <v>1</v>
      </c>
      <c r="N10" s="1" t="b">
        <v>1</v>
      </c>
      <c r="O10" s="1">
        <v>0.01</v>
      </c>
      <c r="P10" s="1">
        <v>0.2</v>
      </c>
      <c r="Q10" s="1">
        <v>0.1</v>
      </c>
      <c r="R10" s="1" t="str">
        <f t="shared" si="0"/>
        <v>c(0.01,0.2)</v>
      </c>
      <c r="T10" s="1" t="s">
        <v>75</v>
      </c>
      <c r="U10" s="1" t="s">
        <v>75</v>
      </c>
      <c r="V10" s="1" t="s">
        <v>75</v>
      </c>
      <c r="W10" s="1" t="s">
        <v>75</v>
      </c>
    </row>
    <row r="11" spans="1:24" x14ac:dyDescent="0.45">
      <c r="A11" s="1" t="s">
        <v>76</v>
      </c>
      <c r="B11" s="1" t="b">
        <v>1</v>
      </c>
      <c r="C11" s="1" t="b">
        <v>1</v>
      </c>
      <c r="D11" s="1" t="b">
        <v>1</v>
      </c>
      <c r="H11" s="1" t="b">
        <v>1</v>
      </c>
      <c r="I11" s="1" t="b">
        <v>1</v>
      </c>
      <c r="K11" s="1" t="b">
        <v>1</v>
      </c>
      <c r="N11" s="1" t="b">
        <v>1</v>
      </c>
      <c r="O11" s="1">
        <v>0</v>
      </c>
      <c r="P11" s="1">
        <v>0.99</v>
      </c>
      <c r="Q11" s="1">
        <v>0.2</v>
      </c>
      <c r="R11" s="1" t="str">
        <f t="shared" si="0"/>
        <v>c(0,0.99)</v>
      </c>
      <c r="S11" s="1" t="s">
        <v>77</v>
      </c>
      <c r="T11" s="1" t="s">
        <v>78</v>
      </c>
      <c r="U11" s="1" t="s">
        <v>78</v>
      </c>
      <c r="V11" s="1" t="s">
        <v>78</v>
      </c>
      <c r="W11" s="1" t="s">
        <v>78</v>
      </c>
    </row>
    <row r="12" spans="1:24" x14ac:dyDescent="0.45">
      <c r="A12" s="1" t="s">
        <v>79</v>
      </c>
      <c r="D12" s="1" t="b">
        <v>1</v>
      </c>
      <c r="I12" s="1" t="b">
        <v>1</v>
      </c>
      <c r="K12" s="1" t="b">
        <v>1</v>
      </c>
      <c r="N12" s="1" t="b">
        <v>1</v>
      </c>
      <c r="O12" s="1">
        <v>0</v>
      </c>
      <c r="P12" s="1">
        <v>0.99</v>
      </c>
      <c r="Q12" s="1">
        <v>0.2</v>
      </c>
      <c r="R12" s="1" t="str">
        <f t="shared" si="0"/>
        <v>c(0,0.99)</v>
      </c>
      <c r="T12" s="1" t="s">
        <v>80</v>
      </c>
      <c r="U12" s="1" t="s">
        <v>81</v>
      </c>
      <c r="V12" s="1" t="s">
        <v>82</v>
      </c>
      <c r="W12" s="1" t="s">
        <v>82</v>
      </c>
    </row>
    <row r="13" spans="1:24" x14ac:dyDescent="0.45">
      <c r="A13" s="1" t="s">
        <v>83</v>
      </c>
      <c r="E13" s="1" t="b">
        <v>1</v>
      </c>
      <c r="F13" s="1" t="b">
        <v>1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1</v>
      </c>
      <c r="N13" s="1" t="b">
        <v>1</v>
      </c>
      <c r="O13" s="1">
        <v>0</v>
      </c>
      <c r="P13" s="1">
        <v>0.99</v>
      </c>
      <c r="Q13" s="1">
        <v>0.25</v>
      </c>
      <c r="R13" s="1" t="str">
        <f t="shared" si="0"/>
        <v>c(0,0.99)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151</v>
      </c>
    </row>
    <row r="14" spans="1:24" x14ac:dyDescent="0.45">
      <c r="A14" s="1" t="s">
        <v>85</v>
      </c>
      <c r="B14" s="1" t="b">
        <v>1</v>
      </c>
      <c r="C14" s="1" t="b">
        <v>1</v>
      </c>
      <c r="D14" s="1" t="b">
        <v>1</v>
      </c>
      <c r="H14" s="1" t="b">
        <v>1</v>
      </c>
      <c r="I14" s="1" t="b">
        <v>1</v>
      </c>
      <c r="K14" s="1" t="b">
        <v>1</v>
      </c>
      <c r="M14" s="1" t="b">
        <v>1</v>
      </c>
      <c r="N14" s="1" t="b">
        <v>1</v>
      </c>
      <c r="O14" s="1">
        <v>0</v>
      </c>
      <c r="P14" s="1">
        <v>6</v>
      </c>
      <c r="Q14" s="1">
        <v>1</v>
      </c>
      <c r="R14" s="1" t="str">
        <f t="shared" si="0"/>
        <v>c(0,6)</v>
      </c>
      <c r="S14" s="1" t="s">
        <v>86</v>
      </c>
      <c r="T14" s="1" t="s">
        <v>86</v>
      </c>
      <c r="U14" s="1" t="s">
        <v>86</v>
      </c>
      <c r="V14" s="1" t="s">
        <v>86</v>
      </c>
      <c r="W14" s="1" t="s">
        <v>86</v>
      </c>
    </row>
    <row r="15" spans="1:24" x14ac:dyDescent="0.45">
      <c r="A15" s="1" t="s">
        <v>87</v>
      </c>
      <c r="C15" s="1" t="b">
        <v>1</v>
      </c>
      <c r="I15" s="1" t="b">
        <v>1</v>
      </c>
      <c r="K15" s="1" t="b">
        <v>1</v>
      </c>
      <c r="N15" s="1" t="b">
        <v>1</v>
      </c>
      <c r="O15" s="1">
        <v>0</v>
      </c>
      <c r="P15" s="1">
        <v>0.99</v>
      </c>
      <c r="Q15" s="1">
        <v>0.2</v>
      </c>
      <c r="R15" s="1" t="str">
        <f t="shared" si="0"/>
        <v>c(0,0.99)</v>
      </c>
      <c r="T15" s="1" t="s">
        <v>88</v>
      </c>
      <c r="U15" s="1" t="s">
        <v>88</v>
      </c>
      <c r="V15" s="1" t="s">
        <v>88</v>
      </c>
      <c r="W15" s="1" t="s">
        <v>88</v>
      </c>
    </row>
    <row r="16" spans="1:24" x14ac:dyDescent="0.45">
      <c r="A16" s="1" t="s">
        <v>89</v>
      </c>
      <c r="C16" s="1" t="b">
        <v>1</v>
      </c>
      <c r="I16" s="1" t="b">
        <v>1</v>
      </c>
      <c r="J16" s="1" t="b">
        <v>1</v>
      </c>
      <c r="K16" s="1" t="b">
        <v>1</v>
      </c>
      <c r="N16" s="1" t="b">
        <v>1</v>
      </c>
      <c r="O16" s="1">
        <v>0</v>
      </c>
      <c r="P16" s="1">
        <v>3</v>
      </c>
      <c r="Q16" s="1">
        <v>0.15</v>
      </c>
      <c r="R16" s="1" t="str">
        <f t="shared" si="0"/>
        <v>c(0,3)</v>
      </c>
      <c r="T16" s="1" t="s">
        <v>90</v>
      </c>
      <c r="U16" s="1" t="s">
        <v>91</v>
      </c>
      <c r="V16" s="1" t="s">
        <v>92</v>
      </c>
      <c r="W16" s="1" t="s">
        <v>92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9501-1928-C24A-A5F8-EF63F20DDAEF}">
  <dimension ref="A1:D44"/>
  <sheetViews>
    <sheetView workbookViewId="0">
      <selection activeCell="C6" sqref="C6"/>
    </sheetView>
  </sheetViews>
  <sheetFormatPr defaultColWidth="11.3984375" defaultRowHeight="14.25" x14ac:dyDescent="0.45"/>
  <cols>
    <col min="1" max="1" width="33.265625" bestFit="1" customWidth="1"/>
    <col min="2" max="2" width="13.265625" bestFit="1" customWidth="1"/>
    <col min="3" max="3" width="25.86328125" bestFit="1" customWidth="1"/>
  </cols>
  <sheetData>
    <row r="1" spans="1:4" ht="15.75" x14ac:dyDescent="0.5">
      <c r="A1" s="2" t="s">
        <v>93</v>
      </c>
    </row>
    <row r="2" spans="1:4" ht="15.75" x14ac:dyDescent="0.5">
      <c r="A2" s="2" t="s">
        <v>94</v>
      </c>
      <c r="B2" t="s">
        <v>95</v>
      </c>
    </row>
    <row r="3" spans="1:4" ht="15.75" x14ac:dyDescent="0.5">
      <c r="A3" s="2" t="s">
        <v>96</v>
      </c>
      <c r="B3" t="s">
        <v>97</v>
      </c>
    </row>
    <row r="4" spans="1:4" ht="15.75" x14ac:dyDescent="0.5">
      <c r="A4" s="2" t="s">
        <v>98</v>
      </c>
      <c r="B4" t="s">
        <v>99</v>
      </c>
      <c r="C4" t="s">
        <v>100</v>
      </c>
    </row>
    <row r="5" spans="1:4" ht="15.75" x14ac:dyDescent="0.5">
      <c r="A5" s="2" t="s">
        <v>101</v>
      </c>
      <c r="B5" t="s">
        <v>95</v>
      </c>
    </row>
    <row r="6" spans="1:4" ht="15.75" x14ac:dyDescent="0.5">
      <c r="A6" s="2" t="s">
        <v>102</v>
      </c>
      <c r="B6" t="s">
        <v>103</v>
      </c>
    </row>
    <row r="7" spans="1:4" ht="15.75" x14ac:dyDescent="0.5">
      <c r="A7" s="2" t="s">
        <v>104</v>
      </c>
      <c r="B7" t="s">
        <v>99</v>
      </c>
      <c r="C7" t="s">
        <v>105</v>
      </c>
    </row>
    <row r="8" spans="1:4" ht="15.75" x14ac:dyDescent="0.5">
      <c r="A8" s="2" t="s">
        <v>106</v>
      </c>
      <c r="B8" t="s">
        <v>107</v>
      </c>
    </row>
    <row r="9" spans="1:4" ht="15.75" x14ac:dyDescent="0.5">
      <c r="A9" s="2" t="s">
        <v>108</v>
      </c>
      <c r="B9" t="s">
        <v>107</v>
      </c>
      <c r="C9" t="s">
        <v>109</v>
      </c>
    </row>
    <row r="10" spans="1:4" ht="15.75" x14ac:dyDescent="0.5">
      <c r="A10" s="2" t="s">
        <v>110</v>
      </c>
      <c r="B10" t="s">
        <v>111</v>
      </c>
      <c r="C10" t="s">
        <v>112</v>
      </c>
      <c r="D10" t="s">
        <v>113</v>
      </c>
    </row>
    <row r="11" spans="1:4" ht="15.75" x14ac:dyDescent="0.5">
      <c r="A11" s="2" t="s">
        <v>114</v>
      </c>
      <c r="B11" t="s">
        <v>107</v>
      </c>
    </row>
    <row r="12" spans="1:4" ht="15.75" x14ac:dyDescent="0.5">
      <c r="A12" s="2" t="s">
        <v>115</v>
      </c>
      <c r="B12" t="s">
        <v>107</v>
      </c>
      <c r="C12" t="s">
        <v>116</v>
      </c>
    </row>
    <row r="13" spans="1:4" ht="15.75" x14ac:dyDescent="0.5">
      <c r="A13" s="2" t="s">
        <v>117</v>
      </c>
      <c r="B13" t="s">
        <v>111</v>
      </c>
      <c r="C13" t="s">
        <v>112</v>
      </c>
      <c r="D13" t="s">
        <v>118</v>
      </c>
    </row>
    <row r="14" spans="1:4" ht="15.75" x14ac:dyDescent="0.5">
      <c r="A14" s="2" t="s">
        <v>119</v>
      </c>
      <c r="B14" t="s">
        <v>107</v>
      </c>
    </row>
    <row r="15" spans="1:4" ht="15.75" x14ac:dyDescent="0.5">
      <c r="A15" s="2" t="s">
        <v>120</v>
      </c>
      <c r="B15" t="s">
        <v>112</v>
      </c>
      <c r="C15" t="s">
        <v>121</v>
      </c>
    </row>
    <row r="16" spans="1:4" ht="15.75" x14ac:dyDescent="0.5">
      <c r="A16" s="2" t="s">
        <v>122</v>
      </c>
      <c r="B16" t="s">
        <v>111</v>
      </c>
      <c r="C16" t="s">
        <v>112</v>
      </c>
      <c r="D16" t="s">
        <v>123</v>
      </c>
    </row>
    <row r="17" spans="1:4" ht="15.75" x14ac:dyDescent="0.5">
      <c r="A17" s="2" t="s">
        <v>124</v>
      </c>
      <c r="B17" t="s">
        <v>107</v>
      </c>
    </row>
    <row r="18" spans="1:4" ht="15.75" x14ac:dyDescent="0.5">
      <c r="A18" s="2" t="s">
        <v>125</v>
      </c>
      <c r="B18" t="s">
        <v>112</v>
      </c>
      <c r="C18" t="s">
        <v>126</v>
      </c>
    </row>
    <row r="19" spans="1:4" ht="15.75" x14ac:dyDescent="0.5">
      <c r="A19" s="2" t="s">
        <v>127</v>
      </c>
      <c r="B19" t="s">
        <v>111</v>
      </c>
      <c r="C19" t="s">
        <v>112</v>
      </c>
      <c r="D19" t="s">
        <v>128</v>
      </c>
    </row>
    <row r="20" spans="1:4" ht="15.75" x14ac:dyDescent="0.5">
      <c r="A20" s="2" t="s">
        <v>129</v>
      </c>
      <c r="B20" t="s">
        <v>130</v>
      </c>
    </row>
    <row r="21" spans="1:4" ht="15.75" x14ac:dyDescent="0.5">
      <c r="A21" s="2" t="s">
        <v>131</v>
      </c>
      <c r="B21" t="s">
        <v>132</v>
      </c>
    </row>
    <row r="22" spans="1:4" ht="15.75" x14ac:dyDescent="0.5">
      <c r="A22" s="2" t="s">
        <v>133</v>
      </c>
      <c r="B22" t="s">
        <v>134</v>
      </c>
      <c r="C22" t="s">
        <v>135</v>
      </c>
      <c r="D22" t="s">
        <v>136</v>
      </c>
    </row>
    <row r="23" spans="1:4" ht="15.75" x14ac:dyDescent="0.5">
      <c r="A23" s="2" t="s">
        <v>137</v>
      </c>
      <c r="B23" t="s">
        <v>130</v>
      </c>
    </row>
    <row r="24" spans="1:4" ht="15.75" x14ac:dyDescent="0.5">
      <c r="A24" s="2" t="s">
        <v>138</v>
      </c>
      <c r="B24" t="s">
        <v>139</v>
      </c>
    </row>
    <row r="25" spans="1:4" ht="15.75" x14ac:dyDescent="0.5">
      <c r="A25" s="2" t="s">
        <v>140</v>
      </c>
      <c r="B25" t="s">
        <v>134</v>
      </c>
      <c r="C25" t="s">
        <v>141</v>
      </c>
      <c r="D25" t="s">
        <v>136</v>
      </c>
    </row>
    <row r="26" spans="1:4" ht="15.75" x14ac:dyDescent="0.5">
      <c r="A26" s="2" t="s">
        <v>142</v>
      </c>
    </row>
    <row r="27" spans="1:4" ht="15.75" x14ac:dyDescent="0.5">
      <c r="A27" s="2" t="s">
        <v>143</v>
      </c>
    </row>
    <row r="28" spans="1:4" ht="15.75" x14ac:dyDescent="0.5">
      <c r="A28" s="2" t="s">
        <v>144</v>
      </c>
    </row>
    <row r="29" spans="1:4" ht="15.75" x14ac:dyDescent="0.5">
      <c r="A29" s="2" t="s">
        <v>145</v>
      </c>
    </row>
    <row r="30" spans="1:4" ht="15.75" x14ac:dyDescent="0.5">
      <c r="A30" s="2" t="s">
        <v>146</v>
      </c>
    </row>
    <row r="31" spans="1:4" ht="15.75" x14ac:dyDescent="0.5">
      <c r="A31" s="2" t="s">
        <v>147</v>
      </c>
    </row>
    <row r="32" spans="1:4" ht="15.75" x14ac:dyDescent="0.5">
      <c r="A32" s="2" t="s">
        <v>152</v>
      </c>
      <c r="B32" t="s">
        <v>95</v>
      </c>
    </row>
    <row r="33" spans="1:2" ht="15.75" x14ac:dyDescent="0.5">
      <c r="A33" s="2" t="s">
        <v>153</v>
      </c>
      <c r="B33" t="s">
        <v>97</v>
      </c>
    </row>
    <row r="34" spans="1:2" ht="15.75" x14ac:dyDescent="0.5">
      <c r="A34" s="2" t="s">
        <v>154</v>
      </c>
      <c r="B34" t="s">
        <v>155</v>
      </c>
    </row>
    <row r="35" spans="1:2" ht="15.75" x14ac:dyDescent="0.5">
      <c r="A35" s="2"/>
    </row>
    <row r="36" spans="1:2" ht="15.75" x14ac:dyDescent="0.5">
      <c r="A36" s="2"/>
    </row>
    <row r="37" spans="1:2" ht="15.75" x14ac:dyDescent="0.5">
      <c r="A37" s="2"/>
    </row>
    <row r="38" spans="1:2" ht="15.75" x14ac:dyDescent="0.5">
      <c r="A38" s="2"/>
    </row>
    <row r="39" spans="1:2" ht="15.75" x14ac:dyDescent="0.5">
      <c r="A39" s="2"/>
    </row>
    <row r="40" spans="1:2" ht="15.75" x14ac:dyDescent="0.5">
      <c r="A40" s="2"/>
    </row>
    <row r="41" spans="1:2" ht="15.75" x14ac:dyDescent="0.5">
      <c r="A41" s="2"/>
    </row>
    <row r="42" spans="1:2" ht="15.75" x14ac:dyDescent="0.5">
      <c r="A42" s="2"/>
    </row>
    <row r="43" spans="1:2" ht="15.75" x14ac:dyDescent="0.5">
      <c r="A43" s="2"/>
    </row>
    <row r="44" spans="1:2" ht="15.75" x14ac:dyDescent="0.5">
      <c r="A44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sample</vt:lpstr>
      <vt:lpstr>design</vt:lpstr>
      <vt:lpstr>inference</vt:lpstr>
      <vt:lpstr>model</vt:lpstr>
      <vt:lpstr>stat</vt:lpstr>
      <vt:lpstr>input</vt:lpstr>
      <vt:lpstr>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E. C. Hedberg</dc:creator>
  <cp:keywords/>
  <dc:description/>
  <cp:lastModifiedBy>E. C. Hedberg</cp:lastModifiedBy>
  <cp:revision/>
  <dcterms:created xsi:type="dcterms:W3CDTF">2020-02-13T11:03:16Z</dcterms:created>
  <dcterms:modified xsi:type="dcterms:W3CDTF">2021-07-10T01:24:56Z</dcterms:modified>
  <cp:category/>
  <cp:contentStatus/>
</cp:coreProperties>
</file>