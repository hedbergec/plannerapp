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Articles in Process\NSF Designs\RBD Assigning Classes\"/>
    </mc:Choice>
  </mc:AlternateContent>
  <xr:revisionPtr revIDLastSave="0" documentId="8_{40BD779F-776A-40AF-AA47-BCA21241BDE8}" xr6:coauthVersionLast="45" xr6:coauthVersionMax="45" xr10:uidLastSave="{00000000-0000-0000-0000-000000000000}"/>
  <bookViews>
    <workbookView xWindow="19160" yWindow="2410" windowWidth="16230" windowHeight="12390" tabRatio="794" activeTab="2" xr2:uid="{E666B45D-0DDB-41D1-9514-0BBFEE296ABC}"/>
  </bookViews>
  <sheets>
    <sheet name="Table 1" sheetId="12" r:id="rId1"/>
    <sheet name="Table 2" sheetId="9" r:id="rId2"/>
    <sheet name="Table 3" sheetId="10" r:id="rId3"/>
    <sheet name="Table A1" sheetId="5" r:id="rId4"/>
    <sheet name="Table A2" sheetId="6" r:id="rId5"/>
    <sheet name="Table A3" sheetId="2" r:id="rId6"/>
    <sheet name="Table A4" sheetId="7" r:id="rId7"/>
    <sheet name="Table A5" sheetId="8" r:id="rId8"/>
    <sheet name="Table A6" sheetId="11" r:id="rId9"/>
    <sheet name="Table 1b" sheetId="3" r:id="rId10"/>
    <sheet name="Table 1c" sheetId="4" r:id="rId11"/>
    <sheet name="Sheet1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7" l="1"/>
  <c r="S9" i="7"/>
  <c r="S8" i="7"/>
  <c r="Q17" i="7"/>
  <c r="E8" i="9" l="1"/>
  <c r="E7" i="9"/>
  <c r="E6" i="9"/>
  <c r="E9" i="9"/>
  <c r="D9" i="9"/>
  <c r="D8" i="9"/>
  <c r="D7" i="9"/>
  <c r="D6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C9" i="9"/>
  <c r="C8" i="9"/>
  <c r="C7" i="9"/>
  <c r="C6" i="9"/>
  <c r="B24" i="8"/>
  <c r="B23" i="8"/>
  <c r="C24" i="8"/>
  <c r="C23" i="8"/>
  <c r="M15" i="1"/>
  <c r="M14" i="1"/>
  <c r="M13" i="1"/>
  <c r="M12" i="1"/>
  <c r="M11" i="1"/>
  <c r="M10" i="1"/>
  <c r="M9" i="1"/>
  <c r="M8" i="1"/>
  <c r="M7" i="1"/>
  <c r="M6" i="1"/>
  <c r="M5" i="1"/>
  <c r="I15" i="1"/>
  <c r="I14" i="1"/>
  <c r="I13" i="1"/>
  <c r="I12" i="1"/>
  <c r="I11" i="1"/>
  <c r="I10" i="1"/>
  <c r="I9" i="1"/>
  <c r="I8" i="1"/>
  <c r="I7" i="1"/>
  <c r="I6" i="1"/>
  <c r="I5" i="1"/>
  <c r="D9" i="1"/>
  <c r="D8" i="1"/>
  <c r="D7" i="1"/>
  <c r="D6" i="1"/>
  <c r="D13" i="1"/>
  <c r="D12" i="1"/>
  <c r="D11" i="1"/>
  <c r="D10" i="1"/>
  <c r="D5" i="1"/>
  <c r="A5" i="1"/>
  <c r="A4" i="1"/>
</calcChain>
</file>

<file path=xl/sharedStrings.xml><?xml version="1.0" encoding="utf-8"?>
<sst xmlns="http://schemas.openxmlformats.org/spreadsheetml/2006/main" count="71" uniqueCount="41">
  <si>
    <t>n</t>
  </si>
  <si>
    <t>rho</t>
  </si>
  <si>
    <t>d</t>
  </si>
  <si>
    <t>m</t>
  </si>
  <si>
    <t>Table 1b</t>
  </si>
  <si>
    <t>Statistical power as a function of d and m, for n = 10, p = 2, and r = 0.05</t>
  </si>
  <si>
    <t>Statistical power as a function of d and m, for n = 20, p = 2, and r = 0.05</t>
  </si>
  <si>
    <t>Statistical power as a function of d and m, for n = 20, p = 3, and r = 0.05</t>
  </si>
  <si>
    <t>Statistical power as a function of d and m, for n = 20, p = 4, and r = 0.05</t>
  </si>
  <si>
    <t>Statistical power as a function of d and m, for n = 15, p = 2, and r = 0.05</t>
  </si>
  <si>
    <t>Table 3</t>
  </si>
  <si>
    <t>c2/c1</t>
  </si>
  <si>
    <t>ICC with perfect matching</t>
  </si>
  <si>
    <t>Optimal design</t>
  </si>
  <si>
    <t>MDES as a function of m and n when p = 2 and r = 0.05</t>
  </si>
  <si>
    <t>MDES as a function of m and n when p = 3 and r = 0.05</t>
  </si>
  <si>
    <r>
      <t>n</t>
    </r>
    <r>
      <rPr>
        <b/>
        <i/>
        <vertAlign val="subscript"/>
        <sz val="11"/>
        <color theme="1"/>
        <rFont val="Calibri"/>
        <family val="2"/>
        <scheme val="minor"/>
      </rPr>
      <t>O</t>
    </r>
  </si>
  <si>
    <r>
      <t>n</t>
    </r>
    <r>
      <rPr>
        <b/>
        <i/>
        <vertAlign val="subscript"/>
        <sz val="12"/>
        <color theme="1"/>
        <rFont val="Times New Roman"/>
        <family val="1"/>
      </rPr>
      <t>O</t>
    </r>
  </si>
  <si>
    <r>
      <t xml:space="preserve">r = </t>
    </r>
    <r>
      <rPr>
        <b/>
        <sz val="12"/>
        <color theme="1"/>
        <rFont val="Times New Roman"/>
        <family val="1"/>
      </rPr>
      <t>0.02</t>
    </r>
  </si>
  <si>
    <r>
      <t>r =</t>
    </r>
    <r>
      <rPr>
        <b/>
        <sz val="12"/>
        <color theme="1"/>
        <rFont val="Times New Roman"/>
        <family val="1"/>
      </rPr>
      <t xml:space="preserve"> 0.03</t>
    </r>
  </si>
  <si>
    <r>
      <t>r =</t>
    </r>
    <r>
      <rPr>
        <b/>
        <sz val="12"/>
        <color theme="1"/>
        <rFont val="Times New Roman"/>
        <family val="1"/>
      </rPr>
      <t xml:space="preserve"> 0.04</t>
    </r>
  </si>
  <si>
    <r>
      <rPr>
        <b/>
        <i/>
        <sz val="12"/>
        <color theme="1"/>
        <rFont val="Times New Roman"/>
        <family val="1"/>
      </rPr>
      <t>r</t>
    </r>
    <r>
      <rPr>
        <b/>
        <sz val="12"/>
        <color theme="1"/>
        <rFont val="Times New Roman"/>
        <family val="1"/>
      </rPr>
      <t xml:space="preserve"> = 0.05</t>
    </r>
  </si>
  <si>
    <t xml:space="preserve">Optomal allocations of within class sample size as a funtion of cost ratio and intraclass correlationclass within school </t>
  </si>
  <si>
    <t>MDES as a function of m and n when pT = 2, pC = 1, and r = 0.05</t>
  </si>
  <si>
    <t>p</t>
  </si>
  <si>
    <t>N</t>
  </si>
  <si>
    <t>pT</t>
  </si>
  <si>
    <t>pC</t>
  </si>
  <si>
    <t>MDES</t>
  </si>
  <si>
    <t>MDES as a function of m and n when pT = 3, pC = 1, and r = 0.05</t>
  </si>
  <si>
    <t>Power</t>
  </si>
  <si>
    <t>SE</t>
  </si>
  <si>
    <t>Table 1</t>
  </si>
  <si>
    <t>Design sensitivity as a function of m and n for two values of d</t>
  </si>
  <si>
    <t>Table 2a+A1A1</t>
  </si>
  <si>
    <t>Table A2</t>
  </si>
  <si>
    <t>Table A3</t>
  </si>
  <si>
    <t>Table A4</t>
  </si>
  <si>
    <t>Table A5</t>
  </si>
  <si>
    <t>Table 2</t>
  </si>
  <si>
    <t>Table 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</si>
</sst>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2" fillId="0" borderId="0" xfId="0" applyNumberFormat="1" applyFont="1"/>
    <xf numFmtId="2" fontId="2" fillId="0" borderId="1" xfId="0" applyNumberFormat="1" applyFont="1" applyBorder="1"/>
    <xf numFmtId="0" fontId="0" fillId="0" borderId="1" xfId="0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/>
    <xf numFmtId="165" fontId="2" fillId="0" borderId="0" xfId="0" applyNumberFormat="1" applyFont="1"/>
    <xf numFmtId="165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4" fillId="0" borderId="0" xfId="0" applyNumberFormat="1" applyFont="1"/>
    <xf numFmtId="165" fontId="0" fillId="0" borderId="1" xfId="0" applyNumberFormat="1" applyBorder="1"/>
    <xf numFmtId="2" fontId="4" fillId="0" borderId="1" xfId="0" applyNumberFormat="1" applyFont="1" applyBorder="1"/>
    <xf numFmtId="0" fontId="5" fillId="0" borderId="3" xfId="0" applyFont="1" applyBorder="1"/>
    <xf numFmtId="0" fontId="5" fillId="0" borderId="1" xfId="0" applyFont="1" applyBorder="1"/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6" fillId="0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/>
    <xf numFmtId="165" fontId="2" fillId="0" borderId="1" xfId="0" applyNumberFormat="1" applyFont="1" applyBorder="1" applyAlignment="1">
      <alignment horizontal="right"/>
    </xf>
    <xf numFmtId="1" fontId="2" fillId="0" borderId="0" xfId="0" applyNumberFormat="1" applyFont="1"/>
    <xf numFmtId="1" fontId="2" fillId="0" borderId="1" xfId="0" applyNumberFormat="1" applyFont="1" applyBorder="1"/>
    <xf numFmtId="1" fontId="0" fillId="0" borderId="0" xfId="0" applyNumberFormat="1"/>
    <xf numFmtId="2" fontId="0" fillId="0" borderId="0" xfId="0" applyNumberFormat="1"/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2" fontId="2" fillId="0" borderId="0" xfId="0" applyNumberFormat="1" applyFont="1" applyBorder="1"/>
    <xf numFmtId="0" fontId="5" fillId="0" borderId="1" xfId="0" applyFont="1" applyFill="1" applyBorder="1" applyAlignment="1">
      <alignment horizontal="center"/>
    </xf>
    <xf numFmtId="0" fontId="1" fillId="0" borderId="2" xfId="0" applyFont="1" applyBorder="1"/>
    <xf numFmtId="164" fontId="2" fillId="0" borderId="0" xfId="0" applyNumberFormat="1" applyFont="1"/>
    <xf numFmtId="164" fontId="2" fillId="0" borderId="1" xfId="0" applyNumberFormat="1" applyFont="1" applyBorder="1"/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FA27-550D-41B4-A788-0920DD68AE15}">
  <dimension ref="A1:H33"/>
  <sheetViews>
    <sheetView workbookViewId="0">
      <selection activeCell="L30" sqref="L30"/>
    </sheetView>
  </sheetViews>
  <sheetFormatPr defaultRowHeight="14.5" x14ac:dyDescent="0.35"/>
  <sheetData>
    <row r="1" spans="1:8" x14ac:dyDescent="0.35">
      <c r="A1" t="s">
        <v>32</v>
      </c>
    </row>
    <row r="2" spans="1:8" x14ac:dyDescent="0.35">
      <c r="A2" t="s">
        <v>33</v>
      </c>
    </row>
    <row r="4" spans="1:8" x14ac:dyDescent="0.35">
      <c r="A4" s="38" t="s">
        <v>3</v>
      </c>
      <c r="B4" s="38" t="s">
        <v>24</v>
      </c>
      <c r="C4" s="38" t="s">
        <v>0</v>
      </c>
      <c r="D4" s="38" t="s">
        <v>25</v>
      </c>
      <c r="E4" s="38" t="s">
        <v>2</v>
      </c>
      <c r="F4" s="38" t="s">
        <v>30</v>
      </c>
      <c r="G4" s="38" t="s">
        <v>28</v>
      </c>
      <c r="H4" s="38" t="s">
        <v>31</v>
      </c>
    </row>
    <row r="5" spans="1:8" ht="15.5" x14ac:dyDescent="0.35">
      <c r="A5" s="8">
        <v>2</v>
      </c>
      <c r="B5" s="8">
        <v>2</v>
      </c>
      <c r="C5" s="8">
        <v>10</v>
      </c>
      <c r="D5" s="8">
        <v>80</v>
      </c>
      <c r="E5" s="3">
        <v>0.2</v>
      </c>
      <c r="F5" s="3">
        <v>0.09</v>
      </c>
      <c r="G5" s="3">
        <v>1.01</v>
      </c>
      <c r="H5" s="39">
        <v>0.26900000000000002</v>
      </c>
    </row>
    <row r="6" spans="1:8" ht="15.5" x14ac:dyDescent="0.35">
      <c r="A6" s="8">
        <v>5</v>
      </c>
      <c r="B6" s="8">
        <v>2</v>
      </c>
      <c r="C6" s="8">
        <v>10</v>
      </c>
      <c r="D6" s="8">
        <v>200</v>
      </c>
      <c r="E6" s="3">
        <v>0.2</v>
      </c>
      <c r="F6" s="3">
        <v>0.19</v>
      </c>
      <c r="G6" s="3">
        <v>0.53</v>
      </c>
      <c r="H6" s="39">
        <v>0.17</v>
      </c>
    </row>
    <row r="7" spans="1:8" ht="15.5" x14ac:dyDescent="0.35">
      <c r="A7" s="8">
        <v>10</v>
      </c>
      <c r="B7" s="8">
        <v>2</v>
      </c>
      <c r="C7" s="8">
        <v>10</v>
      </c>
      <c r="D7" s="8">
        <v>400</v>
      </c>
      <c r="E7" s="3">
        <v>0.2</v>
      </c>
      <c r="F7" s="3">
        <v>0.35</v>
      </c>
      <c r="G7" s="3">
        <v>0.35</v>
      </c>
      <c r="H7" s="39">
        <v>0.12</v>
      </c>
    </row>
    <row r="8" spans="1:8" ht="15.5" x14ac:dyDescent="0.35">
      <c r="A8" s="8">
        <v>15</v>
      </c>
      <c r="B8" s="8">
        <v>2</v>
      </c>
      <c r="C8" s="8">
        <v>10</v>
      </c>
      <c r="D8" s="8">
        <v>600</v>
      </c>
      <c r="E8" s="3">
        <v>0.2</v>
      </c>
      <c r="F8" s="3">
        <v>0.5</v>
      </c>
      <c r="G8" s="3">
        <v>0.28000000000000003</v>
      </c>
      <c r="H8" s="39">
        <v>9.8000000000000004E-2</v>
      </c>
    </row>
    <row r="9" spans="1:8" ht="15.5" x14ac:dyDescent="0.35">
      <c r="A9" s="8"/>
      <c r="B9" s="8"/>
      <c r="C9" s="8"/>
      <c r="D9" s="8"/>
      <c r="E9" s="3"/>
      <c r="F9" s="3"/>
      <c r="G9" s="3"/>
      <c r="H9" s="39"/>
    </row>
    <row r="10" spans="1:8" ht="15.5" x14ac:dyDescent="0.35">
      <c r="A10" s="8">
        <v>2</v>
      </c>
      <c r="B10" s="8">
        <v>2</v>
      </c>
      <c r="C10" s="8">
        <v>15</v>
      </c>
      <c r="D10" s="8">
        <v>120</v>
      </c>
      <c r="E10" s="3">
        <v>0.2</v>
      </c>
      <c r="F10" s="3">
        <v>0.1</v>
      </c>
      <c r="G10" s="3">
        <v>0.9</v>
      </c>
      <c r="H10" s="39">
        <v>0.23799999999999999</v>
      </c>
    </row>
    <row r="11" spans="1:8" ht="15.5" x14ac:dyDescent="0.35">
      <c r="A11" s="8">
        <v>5</v>
      </c>
      <c r="B11" s="8">
        <v>2</v>
      </c>
      <c r="C11" s="8">
        <v>15</v>
      </c>
      <c r="D11" s="8">
        <v>300</v>
      </c>
      <c r="E11" s="3">
        <v>0.2</v>
      </c>
      <c r="F11" s="3">
        <v>0.23</v>
      </c>
      <c r="G11" s="3">
        <v>0.47</v>
      </c>
      <c r="H11" s="39">
        <v>0.151</v>
      </c>
    </row>
    <row r="12" spans="1:8" ht="15.5" x14ac:dyDescent="0.35">
      <c r="A12" s="8">
        <v>10</v>
      </c>
      <c r="B12" s="8">
        <v>2</v>
      </c>
      <c r="C12" s="8">
        <v>15</v>
      </c>
      <c r="D12" s="8">
        <v>600</v>
      </c>
      <c r="E12" s="3">
        <v>0.2</v>
      </c>
      <c r="F12" s="3">
        <v>0.43</v>
      </c>
      <c r="G12" s="3">
        <v>0.31</v>
      </c>
      <c r="H12" s="39">
        <v>0.106</v>
      </c>
    </row>
    <row r="13" spans="1:8" ht="15.5" x14ac:dyDescent="0.35">
      <c r="A13" s="8">
        <v>15</v>
      </c>
      <c r="B13" s="8">
        <v>2</v>
      </c>
      <c r="C13" s="8">
        <v>15</v>
      </c>
      <c r="D13" s="8">
        <v>900</v>
      </c>
      <c r="E13" s="3">
        <v>0.2</v>
      </c>
      <c r="F13" s="3">
        <v>0.61</v>
      </c>
      <c r="G13" s="3">
        <v>0.25</v>
      </c>
      <c r="H13" s="39">
        <v>8.6999999999999994E-2</v>
      </c>
    </row>
    <row r="14" spans="1:8" ht="15.5" x14ac:dyDescent="0.35">
      <c r="A14" s="8"/>
      <c r="B14" s="8"/>
      <c r="C14" s="8"/>
      <c r="D14" s="8"/>
      <c r="E14" s="3"/>
      <c r="F14" s="3"/>
      <c r="G14" s="3"/>
      <c r="H14" s="39"/>
    </row>
    <row r="15" spans="1:8" ht="15.5" x14ac:dyDescent="0.35">
      <c r="A15" s="8">
        <v>2</v>
      </c>
      <c r="B15" s="8">
        <v>2</v>
      </c>
      <c r="C15" s="8">
        <v>20</v>
      </c>
      <c r="D15" s="8">
        <v>160</v>
      </c>
      <c r="E15" s="3">
        <v>0.2</v>
      </c>
      <c r="F15" s="3">
        <v>0.11</v>
      </c>
      <c r="G15" s="3">
        <v>0.83</v>
      </c>
      <c r="H15" s="39">
        <v>0.221</v>
      </c>
    </row>
    <row r="16" spans="1:8" ht="15.5" x14ac:dyDescent="0.35">
      <c r="A16" s="8">
        <v>5</v>
      </c>
      <c r="B16" s="8">
        <v>2</v>
      </c>
      <c r="C16" s="8">
        <v>20</v>
      </c>
      <c r="D16" s="8">
        <v>400</v>
      </c>
      <c r="E16" s="3">
        <v>0.2</v>
      </c>
      <c r="F16" s="3">
        <v>0.25</v>
      </c>
      <c r="G16" s="3">
        <v>0.43</v>
      </c>
      <c r="H16" s="39">
        <v>0.14000000000000001</v>
      </c>
    </row>
    <row r="17" spans="1:8" ht="15.5" x14ac:dyDescent="0.35">
      <c r="A17" s="8">
        <v>10</v>
      </c>
      <c r="B17" s="8">
        <v>2</v>
      </c>
      <c r="C17" s="8">
        <v>20</v>
      </c>
      <c r="D17" s="8">
        <v>800</v>
      </c>
      <c r="E17" s="3">
        <v>0.2</v>
      </c>
      <c r="F17" s="3">
        <v>0.49</v>
      </c>
      <c r="G17" s="3">
        <v>0.28999999999999998</v>
      </c>
      <c r="H17" s="39">
        <v>9.9000000000000005E-2</v>
      </c>
    </row>
    <row r="18" spans="1:8" ht="15.5" x14ac:dyDescent="0.35">
      <c r="A18" s="8">
        <v>15</v>
      </c>
      <c r="B18" s="8">
        <v>2</v>
      </c>
      <c r="C18" s="8">
        <v>20</v>
      </c>
      <c r="D18" s="8">
        <v>1200</v>
      </c>
      <c r="E18" s="3">
        <v>0.2</v>
      </c>
      <c r="F18" s="3">
        <v>0.67</v>
      </c>
      <c r="G18" s="3">
        <v>0.23</v>
      </c>
      <c r="H18" s="39">
        <v>8.1000000000000003E-2</v>
      </c>
    </row>
    <row r="19" spans="1:8" ht="15.5" x14ac:dyDescent="0.35">
      <c r="A19" s="8"/>
      <c r="B19" s="8"/>
      <c r="C19" s="8"/>
      <c r="D19" s="8"/>
      <c r="E19" s="3"/>
      <c r="F19" s="3"/>
      <c r="G19" s="3"/>
      <c r="H19" s="39"/>
    </row>
    <row r="20" spans="1:8" ht="15.5" x14ac:dyDescent="0.35">
      <c r="A20" s="8">
        <v>2</v>
      </c>
      <c r="B20" s="8">
        <v>2</v>
      </c>
      <c r="C20" s="8">
        <v>10</v>
      </c>
      <c r="D20" s="8">
        <v>80</v>
      </c>
      <c r="E20" s="3">
        <v>0.4</v>
      </c>
      <c r="F20" s="3">
        <v>0.21</v>
      </c>
      <c r="G20" s="3">
        <v>1.01</v>
      </c>
      <c r="H20" s="39">
        <v>0.26900000000000002</v>
      </c>
    </row>
    <row r="21" spans="1:8" ht="15.5" x14ac:dyDescent="0.35">
      <c r="A21" s="8">
        <v>5</v>
      </c>
      <c r="B21" s="8">
        <v>2</v>
      </c>
      <c r="C21" s="8">
        <v>10</v>
      </c>
      <c r="D21" s="8">
        <v>200</v>
      </c>
      <c r="E21" s="3">
        <v>0.4</v>
      </c>
      <c r="F21" s="3">
        <v>0.56000000000000005</v>
      </c>
      <c r="G21" s="3">
        <v>0.53</v>
      </c>
      <c r="H21" s="39">
        <v>0.17</v>
      </c>
    </row>
    <row r="22" spans="1:8" ht="15.5" x14ac:dyDescent="0.35">
      <c r="A22" s="8">
        <v>10</v>
      </c>
      <c r="B22" s="8">
        <v>2</v>
      </c>
      <c r="C22" s="8">
        <v>10</v>
      </c>
      <c r="D22" s="8">
        <v>400</v>
      </c>
      <c r="E22" s="3">
        <v>0.4</v>
      </c>
      <c r="F22" s="3">
        <v>0.88</v>
      </c>
      <c r="G22" s="3">
        <v>0.35</v>
      </c>
      <c r="H22" s="39">
        <v>0.12</v>
      </c>
    </row>
    <row r="23" spans="1:8" ht="15.5" x14ac:dyDescent="0.35">
      <c r="A23" s="8">
        <v>15</v>
      </c>
      <c r="B23" s="8">
        <v>2</v>
      </c>
      <c r="C23" s="8">
        <v>10</v>
      </c>
      <c r="D23" s="8">
        <v>600</v>
      </c>
      <c r="E23" s="3">
        <v>0.4</v>
      </c>
      <c r="F23" s="3">
        <v>0.98</v>
      </c>
      <c r="G23" s="3">
        <v>0.28000000000000003</v>
      </c>
      <c r="H23" s="39">
        <v>9.8000000000000004E-2</v>
      </c>
    </row>
    <row r="24" spans="1:8" ht="15.5" x14ac:dyDescent="0.35">
      <c r="A24" s="8"/>
      <c r="B24" s="8"/>
      <c r="C24" s="8"/>
      <c r="D24" s="8"/>
      <c r="E24" s="3"/>
      <c r="F24" s="3"/>
      <c r="G24" s="3"/>
      <c r="H24" s="39"/>
    </row>
    <row r="25" spans="1:8" ht="15.5" x14ac:dyDescent="0.35">
      <c r="A25" s="8">
        <v>2</v>
      </c>
      <c r="B25" s="8">
        <v>2</v>
      </c>
      <c r="C25" s="8">
        <v>15</v>
      </c>
      <c r="D25" s="8">
        <v>120</v>
      </c>
      <c r="E25" s="3">
        <v>0.4</v>
      </c>
      <c r="F25" s="3">
        <v>0.25</v>
      </c>
      <c r="G25" s="3">
        <v>0.9</v>
      </c>
      <c r="H25" s="39">
        <v>0.23799999999999999</v>
      </c>
    </row>
    <row r="26" spans="1:8" ht="15.5" x14ac:dyDescent="0.35">
      <c r="A26" s="8">
        <v>5</v>
      </c>
      <c r="B26" s="8">
        <v>2</v>
      </c>
      <c r="C26" s="8">
        <v>15</v>
      </c>
      <c r="D26" s="8">
        <v>300</v>
      </c>
      <c r="E26" s="3">
        <v>0.4</v>
      </c>
      <c r="F26" s="3">
        <v>0.67</v>
      </c>
      <c r="G26" s="3">
        <v>0.47</v>
      </c>
      <c r="H26" s="39">
        <v>0.151</v>
      </c>
    </row>
    <row r="27" spans="1:8" ht="15.5" x14ac:dyDescent="0.35">
      <c r="A27" s="8">
        <v>10</v>
      </c>
      <c r="B27" s="8">
        <v>2</v>
      </c>
      <c r="C27" s="8">
        <v>15</v>
      </c>
      <c r="D27" s="8">
        <v>600</v>
      </c>
      <c r="E27" s="3">
        <v>0.4</v>
      </c>
      <c r="F27" s="3">
        <v>0.95</v>
      </c>
      <c r="G27" s="3">
        <v>0.31</v>
      </c>
      <c r="H27" s="39">
        <v>0.106</v>
      </c>
    </row>
    <row r="28" spans="1:8" ht="15.5" x14ac:dyDescent="0.35">
      <c r="A28" s="8">
        <v>15</v>
      </c>
      <c r="B28" s="8">
        <v>2</v>
      </c>
      <c r="C28" s="8">
        <v>15</v>
      </c>
      <c r="D28" s="8">
        <v>900</v>
      </c>
      <c r="E28" s="3">
        <v>0.4</v>
      </c>
      <c r="F28" s="3">
        <v>0.99</v>
      </c>
      <c r="G28" s="3">
        <v>0.25</v>
      </c>
      <c r="H28" s="39">
        <v>8.6999999999999994E-2</v>
      </c>
    </row>
    <row r="29" spans="1:8" ht="15.5" x14ac:dyDescent="0.35">
      <c r="A29" s="8"/>
      <c r="B29" s="8"/>
      <c r="C29" s="8"/>
      <c r="D29" s="8"/>
      <c r="E29" s="3"/>
      <c r="F29" s="3"/>
      <c r="G29" s="3"/>
      <c r="H29" s="39"/>
    </row>
    <row r="30" spans="1:8" ht="15.5" x14ac:dyDescent="0.35">
      <c r="A30" s="8">
        <v>2</v>
      </c>
      <c r="B30" s="8">
        <v>2</v>
      </c>
      <c r="C30" s="8">
        <v>20</v>
      </c>
      <c r="D30" s="8">
        <v>160</v>
      </c>
      <c r="E30" s="3">
        <v>0.4</v>
      </c>
      <c r="F30" s="3">
        <v>0.28999999999999998</v>
      </c>
      <c r="G30" s="3">
        <v>0.83</v>
      </c>
      <c r="H30" s="39">
        <v>0.221</v>
      </c>
    </row>
    <row r="31" spans="1:8" ht="15.5" x14ac:dyDescent="0.35">
      <c r="A31" s="8">
        <v>5</v>
      </c>
      <c r="B31" s="8">
        <v>2</v>
      </c>
      <c r="C31" s="8">
        <v>20</v>
      </c>
      <c r="D31" s="8">
        <v>400</v>
      </c>
      <c r="E31" s="3">
        <v>0.4</v>
      </c>
      <c r="F31" s="3">
        <v>0.73</v>
      </c>
      <c r="G31" s="3">
        <v>0.43</v>
      </c>
      <c r="H31" s="39">
        <v>0.14000000000000001</v>
      </c>
    </row>
    <row r="32" spans="1:8" ht="15.5" x14ac:dyDescent="0.35">
      <c r="A32" s="8">
        <v>10</v>
      </c>
      <c r="B32" s="8">
        <v>2</v>
      </c>
      <c r="C32" s="8">
        <v>20</v>
      </c>
      <c r="D32" s="8">
        <v>800</v>
      </c>
      <c r="E32" s="3">
        <v>0.4</v>
      </c>
      <c r="F32" s="3">
        <v>0.97</v>
      </c>
      <c r="G32" s="3">
        <v>0.28999999999999998</v>
      </c>
      <c r="H32" s="39">
        <v>9.9000000000000005E-2</v>
      </c>
    </row>
    <row r="33" spans="1:8" ht="15.5" x14ac:dyDescent="0.35">
      <c r="A33" s="7">
        <v>15</v>
      </c>
      <c r="B33" s="7">
        <v>2</v>
      </c>
      <c r="C33" s="7">
        <v>20</v>
      </c>
      <c r="D33" s="7">
        <v>1200</v>
      </c>
      <c r="E33" s="4">
        <v>0.4</v>
      </c>
      <c r="F33" s="4">
        <v>1</v>
      </c>
      <c r="G33" s="4">
        <v>0.23</v>
      </c>
      <c r="H33" s="40">
        <v>8.1000000000000003E-2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D5D5-B299-4800-A814-D8A9A6AD10FB}">
  <dimension ref="A1:E20"/>
  <sheetViews>
    <sheetView workbookViewId="0">
      <selection activeCell="F28" sqref="F28"/>
    </sheetView>
  </sheetViews>
  <sheetFormatPr defaultRowHeight="14.5" x14ac:dyDescent="0.35"/>
  <sheetData>
    <row r="1" spans="1:5" x14ac:dyDescent="0.35">
      <c r="A1" t="s">
        <v>39</v>
      </c>
    </row>
    <row r="2" spans="1:5" x14ac:dyDescent="0.35">
      <c r="A2" t="s">
        <v>22</v>
      </c>
    </row>
    <row r="4" spans="1:5" ht="17.5" x14ac:dyDescent="0.45">
      <c r="A4" s="6"/>
      <c r="B4" s="41" t="s">
        <v>17</v>
      </c>
      <c r="C4" s="41"/>
      <c r="D4" s="41"/>
      <c r="E4" s="41"/>
    </row>
    <row r="5" spans="1:5" ht="15.5" x14ac:dyDescent="0.35">
      <c r="A5" s="19" t="s">
        <v>11</v>
      </c>
      <c r="B5" s="19" t="s">
        <v>18</v>
      </c>
      <c r="C5" s="23" t="s">
        <v>19</v>
      </c>
      <c r="D5" s="23" t="s">
        <v>20</v>
      </c>
      <c r="E5" s="17" t="s">
        <v>21</v>
      </c>
    </row>
    <row r="6" spans="1:5" ht="15.5" x14ac:dyDescent="0.35">
      <c r="A6" s="24">
        <v>1</v>
      </c>
      <c r="B6" s="24">
        <f>SQRT(A6*(1-0.02)/0.02)</f>
        <v>7</v>
      </c>
      <c r="C6" s="25">
        <f>SQRT(A6*(1-0.03)/0.03)</f>
        <v>5.6862407030773268</v>
      </c>
      <c r="D6" s="25">
        <f>SQRT(A6*(1-0.04)/0.04)</f>
        <v>4.8989794855663558</v>
      </c>
      <c r="E6" s="27">
        <f>SQRT(A6*(1-0.05)/0.05)</f>
        <v>4.3588989435406731</v>
      </c>
    </row>
    <row r="7" spans="1:5" ht="15.5" x14ac:dyDescent="0.35">
      <c r="A7" s="24">
        <v>2</v>
      </c>
      <c r="B7" s="26">
        <f t="shared" ref="B7:B20" si="0">SQRT(A7*(1-0.02)/0.02)</f>
        <v>9.8994949366116654</v>
      </c>
      <c r="C7" s="25">
        <f>SQRT(A7*(1-0.03)/0.03)</f>
        <v>8.0415587212098796</v>
      </c>
      <c r="D7" s="25">
        <f>SQRT(A7*(1-0.04)/0.04)</f>
        <v>6.9282032302755088</v>
      </c>
      <c r="E7" s="27">
        <f>SQRT(A7*(1-0.05)/0.05)</f>
        <v>6.164414002968976</v>
      </c>
    </row>
    <row r="8" spans="1:5" ht="15.5" x14ac:dyDescent="0.35">
      <c r="A8" s="24">
        <v>3</v>
      </c>
      <c r="B8" s="26">
        <f t="shared" si="0"/>
        <v>12.124355652982141</v>
      </c>
      <c r="C8" s="25">
        <f>SQRT(A8*(1-0.03)/0.03)</f>
        <v>9.8488578017961057</v>
      </c>
      <c r="D8" s="25">
        <f>SQRT(A8*(1-0.04)/0.04)</f>
        <v>8.4852813742385695</v>
      </c>
      <c r="E8" s="27">
        <f>SQRT(A8*(1-0.05)/0.05)</f>
        <v>7.5498344352707489</v>
      </c>
    </row>
    <row r="9" spans="1:5" ht="15.5" x14ac:dyDescent="0.35">
      <c r="A9" s="24">
        <v>4</v>
      </c>
      <c r="B9" s="26">
        <f t="shared" si="0"/>
        <v>14</v>
      </c>
      <c r="C9" s="25">
        <f>SQRT(A9*(1-0.03)/0.03)</f>
        <v>11.372481406154654</v>
      </c>
      <c r="D9" s="25">
        <f>SQRT(A9*(1-0.04)/0.04)</f>
        <v>9.7979589711327115</v>
      </c>
      <c r="E9" s="27">
        <f>SQRT(A9*(1-0.05)/0.05)</f>
        <v>8.7177978870813462</v>
      </c>
    </row>
    <row r="10" spans="1:5" ht="15.5" x14ac:dyDescent="0.35">
      <c r="A10" s="8">
        <v>5</v>
      </c>
      <c r="B10" s="26">
        <f t="shared" si="0"/>
        <v>15.652475842498529</v>
      </c>
      <c r="C10" s="9">
        <v>12.714820748507099</v>
      </c>
      <c r="D10" s="9">
        <v>10.954451150103322</v>
      </c>
      <c r="E10" s="9">
        <v>9.7467943448089631</v>
      </c>
    </row>
    <row r="11" spans="1:5" ht="15.5" x14ac:dyDescent="0.35">
      <c r="A11" s="8">
        <v>6</v>
      </c>
      <c r="B11" s="26">
        <f t="shared" si="0"/>
        <v>17.146428199482248</v>
      </c>
      <c r="C11" s="9">
        <v>13.928388277184121</v>
      </c>
      <c r="D11" s="9">
        <v>12</v>
      </c>
      <c r="E11" s="9">
        <v>10.677078252031311</v>
      </c>
    </row>
    <row r="12" spans="1:5" ht="15.5" x14ac:dyDescent="0.35">
      <c r="A12" s="8">
        <v>7</v>
      </c>
      <c r="B12" s="26">
        <f t="shared" si="0"/>
        <v>18.520259177452132</v>
      </c>
      <c r="C12" s="9">
        <v>15.044378795195678</v>
      </c>
      <c r="D12" s="9">
        <v>12.961481396815721</v>
      </c>
      <c r="E12" s="9">
        <v>11.532562594670795</v>
      </c>
    </row>
    <row r="13" spans="1:5" ht="15.5" x14ac:dyDescent="0.35">
      <c r="A13" s="8">
        <v>8</v>
      </c>
      <c r="B13" s="26">
        <f t="shared" si="0"/>
        <v>19.798989873223331</v>
      </c>
      <c r="C13" s="9">
        <v>16.083117442419759</v>
      </c>
      <c r="D13" s="9">
        <v>13.856406460551018</v>
      </c>
      <c r="E13" s="9">
        <v>12.328828005937952</v>
      </c>
    </row>
    <row r="14" spans="1:5" ht="15.5" x14ac:dyDescent="0.35">
      <c r="A14" s="8">
        <v>9</v>
      </c>
      <c r="B14" s="26">
        <f t="shared" si="0"/>
        <v>21</v>
      </c>
      <c r="C14" s="9">
        <v>17.058722109231979</v>
      </c>
      <c r="D14" s="9">
        <v>14.696938456699069</v>
      </c>
      <c r="E14" s="9">
        <v>13.076696830622019</v>
      </c>
    </row>
    <row r="15" spans="1:5" ht="15.5" x14ac:dyDescent="0.35">
      <c r="A15" s="8">
        <v>10</v>
      </c>
      <c r="B15" s="26">
        <f t="shared" si="0"/>
        <v>22.135943621178654</v>
      </c>
      <c r="C15" s="9">
        <v>17.981471945681569</v>
      </c>
      <c r="D15" s="9">
        <v>15.491933384829668</v>
      </c>
      <c r="E15" s="9">
        <v>13.784048752090222</v>
      </c>
    </row>
    <row r="16" spans="1:5" ht="15.5" x14ac:dyDescent="0.35">
      <c r="A16" s="8">
        <v>15</v>
      </c>
      <c r="B16" s="26">
        <f t="shared" si="0"/>
        <v>27.110883423451916</v>
      </c>
      <c r="C16" s="9">
        <v>22.022715545545239</v>
      </c>
      <c r="D16" s="9">
        <v>18.973665961010276</v>
      </c>
      <c r="E16" s="9">
        <v>16.881943016134134</v>
      </c>
    </row>
    <row r="17" spans="1:5" ht="15.5" x14ac:dyDescent="0.35">
      <c r="A17" s="8">
        <v>20</v>
      </c>
      <c r="B17" s="26">
        <f t="shared" si="0"/>
        <v>31.304951684997057</v>
      </c>
      <c r="C17" s="9">
        <v>25.429641497014199</v>
      </c>
      <c r="D17" s="9">
        <v>21.908902300206645</v>
      </c>
      <c r="E17" s="9">
        <v>19.493588689617926</v>
      </c>
    </row>
    <row r="18" spans="1:5" ht="15.5" x14ac:dyDescent="0.35">
      <c r="A18" s="8">
        <v>25</v>
      </c>
      <c r="B18" s="26">
        <f t="shared" si="0"/>
        <v>35</v>
      </c>
      <c r="C18" s="9">
        <v>28.431203515386635</v>
      </c>
      <c r="D18" s="9">
        <v>24.494897427831781</v>
      </c>
      <c r="E18" s="9">
        <v>21.794494717703369</v>
      </c>
    </row>
    <row r="19" spans="1:5" ht="15.5" x14ac:dyDescent="0.35">
      <c r="A19" s="8">
        <v>30</v>
      </c>
      <c r="B19" s="26">
        <f t="shared" si="0"/>
        <v>38.340579025361627</v>
      </c>
      <c r="C19" s="9">
        <v>31.144823004794873</v>
      </c>
      <c r="D19" s="9">
        <v>26.832815729997474</v>
      </c>
      <c r="E19" s="9">
        <v>23.874672772626646</v>
      </c>
    </row>
    <row r="20" spans="1:5" ht="15.5" x14ac:dyDescent="0.35">
      <c r="A20" s="7">
        <v>50</v>
      </c>
      <c r="B20" s="28">
        <f t="shared" si="0"/>
        <v>49.497474683058329</v>
      </c>
      <c r="C20" s="10">
        <v>40.2077936060494</v>
      </c>
      <c r="D20" s="10">
        <v>34.641016151377549</v>
      </c>
      <c r="E20" s="10">
        <v>30.822070014844883</v>
      </c>
    </row>
  </sheetData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4BE5-F8CE-470D-8083-2D33D922F1F7}">
  <dimension ref="A1:M19"/>
  <sheetViews>
    <sheetView tabSelected="1" workbookViewId="0"/>
  </sheetViews>
  <sheetFormatPr defaultRowHeight="14.5" x14ac:dyDescent="0.35"/>
  <sheetData>
    <row r="1" spans="1:13" x14ac:dyDescent="0.35">
      <c r="A1" t="s">
        <v>10</v>
      </c>
    </row>
    <row r="2" spans="1:13" x14ac:dyDescent="0.35">
      <c r="A2" t="s">
        <v>23</v>
      </c>
    </row>
    <row r="4" spans="1:13" ht="15.5" x14ac:dyDescent="0.35">
      <c r="A4" s="16"/>
      <c r="B4" s="41" t="s">
        <v>0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15.5" x14ac:dyDescent="0.35">
      <c r="A5" s="19" t="s">
        <v>3</v>
      </c>
      <c r="B5" s="20">
        <v>10</v>
      </c>
      <c r="C5" s="20">
        <v>11</v>
      </c>
      <c r="D5" s="20">
        <v>12</v>
      </c>
      <c r="E5" s="20">
        <v>13</v>
      </c>
      <c r="F5" s="20">
        <v>14</v>
      </c>
      <c r="G5" s="20">
        <v>15</v>
      </c>
      <c r="H5" s="20">
        <v>16</v>
      </c>
      <c r="I5" s="20">
        <v>17</v>
      </c>
      <c r="J5" s="20">
        <v>18</v>
      </c>
      <c r="K5" s="20">
        <v>19</v>
      </c>
      <c r="L5" s="20">
        <v>20</v>
      </c>
      <c r="M5" s="37">
        <v>25</v>
      </c>
    </row>
    <row r="6" spans="1:13" ht="15.5" x14ac:dyDescent="0.35">
      <c r="A6" s="29">
        <v>2</v>
      </c>
      <c r="B6" s="3">
        <v>1.86</v>
      </c>
      <c r="C6" s="3">
        <v>1.81</v>
      </c>
      <c r="D6" s="3">
        <v>1.76</v>
      </c>
      <c r="E6" s="3">
        <v>1.72</v>
      </c>
      <c r="F6" s="3">
        <v>1.68</v>
      </c>
      <c r="G6" s="3">
        <v>1.65</v>
      </c>
      <c r="H6" s="3">
        <v>1.62</v>
      </c>
      <c r="I6" s="3">
        <v>1.59</v>
      </c>
      <c r="J6" s="3">
        <v>1.57</v>
      </c>
      <c r="K6" s="3">
        <v>1.55</v>
      </c>
      <c r="L6" s="3">
        <v>1.53</v>
      </c>
      <c r="M6" s="3">
        <v>1.45</v>
      </c>
    </row>
    <row r="7" spans="1:13" ht="15.5" x14ac:dyDescent="0.35">
      <c r="A7" s="29">
        <v>3</v>
      </c>
      <c r="B7" s="3">
        <v>1.1499999999999999</v>
      </c>
      <c r="C7" s="3">
        <v>1.1100000000000001</v>
      </c>
      <c r="D7" s="3">
        <v>1.08</v>
      </c>
      <c r="E7" s="3">
        <v>1.06</v>
      </c>
      <c r="F7" s="3">
        <v>1.03</v>
      </c>
      <c r="G7" s="3">
        <v>1.01</v>
      </c>
      <c r="H7" s="3">
        <v>1</v>
      </c>
      <c r="I7" s="3">
        <v>0.98</v>
      </c>
      <c r="J7" s="3">
        <v>0.96</v>
      </c>
      <c r="K7" s="3">
        <v>0.95</v>
      </c>
      <c r="L7" s="3">
        <v>0.94</v>
      </c>
      <c r="M7" s="3">
        <v>0.89</v>
      </c>
    </row>
    <row r="8" spans="1:13" ht="15.5" x14ac:dyDescent="0.35">
      <c r="A8" s="29">
        <v>4</v>
      </c>
      <c r="B8" s="3">
        <v>0.88</v>
      </c>
      <c r="C8" s="3">
        <v>0.85</v>
      </c>
      <c r="D8" s="3">
        <v>0.83</v>
      </c>
      <c r="E8" s="3">
        <v>0.81</v>
      </c>
      <c r="F8" s="3">
        <v>0.79</v>
      </c>
      <c r="G8" s="3">
        <v>0.78</v>
      </c>
      <c r="H8" s="3">
        <v>0.76</v>
      </c>
      <c r="I8" s="3">
        <v>0.75</v>
      </c>
      <c r="J8" s="3">
        <v>0.74</v>
      </c>
      <c r="K8" s="3">
        <v>0.73</v>
      </c>
      <c r="L8" s="3">
        <v>0.72</v>
      </c>
      <c r="M8" s="3">
        <v>0.68</v>
      </c>
    </row>
    <row r="9" spans="1:13" ht="15.5" x14ac:dyDescent="0.35">
      <c r="A9" s="29">
        <v>5</v>
      </c>
      <c r="B9" s="3">
        <v>0.73</v>
      </c>
      <c r="C9" s="3">
        <v>0.71</v>
      </c>
      <c r="D9" s="3">
        <v>0.69</v>
      </c>
      <c r="E9" s="3">
        <v>0.68</v>
      </c>
      <c r="F9" s="3">
        <v>0.66</v>
      </c>
      <c r="G9" s="3">
        <v>0.65</v>
      </c>
      <c r="H9" s="3">
        <v>0.64</v>
      </c>
      <c r="I9" s="3">
        <v>0.63</v>
      </c>
      <c r="J9" s="3">
        <v>0.62</v>
      </c>
      <c r="K9" s="3">
        <v>0.61</v>
      </c>
      <c r="L9" s="3">
        <v>0.6</v>
      </c>
      <c r="M9" s="3">
        <v>0.56999999999999995</v>
      </c>
    </row>
    <row r="10" spans="1:13" ht="15.5" x14ac:dyDescent="0.35">
      <c r="A10" s="29">
        <v>6</v>
      </c>
      <c r="B10" s="3">
        <v>0.64</v>
      </c>
      <c r="C10" s="3">
        <v>0.62</v>
      </c>
      <c r="D10" s="3">
        <v>0.61</v>
      </c>
      <c r="E10" s="3">
        <v>0.59</v>
      </c>
      <c r="F10" s="3">
        <v>0.57999999999999996</v>
      </c>
      <c r="G10" s="3">
        <v>0.56999999999999995</v>
      </c>
      <c r="H10" s="3">
        <v>0.56000000000000005</v>
      </c>
      <c r="I10" s="3">
        <v>0.55000000000000004</v>
      </c>
      <c r="J10" s="3">
        <v>0.54</v>
      </c>
      <c r="K10" s="3">
        <v>0.53</v>
      </c>
      <c r="L10" s="3">
        <v>0.53</v>
      </c>
      <c r="M10" s="3">
        <v>0.5</v>
      </c>
    </row>
    <row r="11" spans="1:13" ht="15.5" x14ac:dyDescent="0.35">
      <c r="A11" s="29">
        <v>7</v>
      </c>
      <c r="B11" s="3">
        <v>0.57999999999999996</v>
      </c>
      <c r="C11" s="3">
        <v>0.56000000000000005</v>
      </c>
      <c r="D11" s="3">
        <v>0.54</v>
      </c>
      <c r="E11" s="3">
        <v>0.53</v>
      </c>
      <c r="F11" s="3">
        <v>0.52</v>
      </c>
      <c r="G11" s="3">
        <v>0.51</v>
      </c>
      <c r="H11" s="3">
        <v>0.5</v>
      </c>
      <c r="I11" s="3">
        <v>0.49</v>
      </c>
      <c r="J11" s="3">
        <v>0.49</v>
      </c>
      <c r="K11" s="3">
        <v>0.48</v>
      </c>
      <c r="L11" s="3">
        <v>0.47</v>
      </c>
      <c r="M11" s="3">
        <v>0.45</v>
      </c>
    </row>
    <row r="12" spans="1:13" ht="15.5" x14ac:dyDescent="0.35">
      <c r="A12" s="29">
        <v>8</v>
      </c>
      <c r="B12" s="3">
        <v>0.53</v>
      </c>
      <c r="C12" s="3">
        <v>0.51</v>
      </c>
      <c r="D12" s="3">
        <v>0.5</v>
      </c>
      <c r="E12" s="3">
        <v>0.49</v>
      </c>
      <c r="F12" s="3">
        <v>0.48</v>
      </c>
      <c r="G12" s="3">
        <v>0.47</v>
      </c>
      <c r="H12" s="3">
        <v>0.46</v>
      </c>
      <c r="I12" s="3">
        <v>0.45</v>
      </c>
      <c r="J12" s="3">
        <v>0.44</v>
      </c>
      <c r="K12" s="3">
        <v>0.44</v>
      </c>
      <c r="L12" s="3">
        <v>0.43</v>
      </c>
      <c r="M12" s="3">
        <v>0.41</v>
      </c>
    </row>
    <row r="13" spans="1:13" ht="15.5" x14ac:dyDescent="0.35">
      <c r="A13" s="29">
        <v>9</v>
      </c>
      <c r="B13" s="3">
        <v>0.49</v>
      </c>
      <c r="C13" s="3">
        <v>0.48</v>
      </c>
      <c r="D13" s="3">
        <v>0.46</v>
      </c>
      <c r="E13" s="3">
        <v>0.45</v>
      </c>
      <c r="F13" s="3">
        <v>0.44</v>
      </c>
      <c r="G13" s="3">
        <v>0.43</v>
      </c>
      <c r="H13" s="3">
        <v>0.43</v>
      </c>
      <c r="I13" s="3">
        <v>0.42</v>
      </c>
      <c r="J13" s="3">
        <v>0.41</v>
      </c>
      <c r="K13" s="3">
        <v>0.41</v>
      </c>
      <c r="L13" s="3">
        <v>0.4</v>
      </c>
      <c r="M13" s="3">
        <v>0.38</v>
      </c>
    </row>
    <row r="14" spans="1:13" ht="15.5" x14ac:dyDescent="0.35">
      <c r="A14" s="29">
        <v>10</v>
      </c>
      <c r="B14" s="3">
        <v>0.46</v>
      </c>
      <c r="C14" s="3">
        <v>0.44</v>
      </c>
      <c r="D14" s="3">
        <v>0.43</v>
      </c>
      <c r="E14" s="3">
        <v>0.42</v>
      </c>
      <c r="F14" s="3">
        <v>0.41</v>
      </c>
      <c r="G14" s="3">
        <v>0.41</v>
      </c>
      <c r="H14" s="3">
        <v>0.4</v>
      </c>
      <c r="I14" s="3">
        <v>0.39</v>
      </c>
      <c r="J14" s="3">
        <v>0.39</v>
      </c>
      <c r="K14" s="3">
        <v>0.38</v>
      </c>
      <c r="L14" s="3">
        <v>0.38</v>
      </c>
      <c r="M14" s="3">
        <v>0.36</v>
      </c>
    </row>
    <row r="15" spans="1:13" ht="15.5" x14ac:dyDescent="0.35">
      <c r="A15" s="29">
        <v>11</v>
      </c>
      <c r="B15" s="3">
        <v>0.43</v>
      </c>
      <c r="C15" s="3">
        <v>0.42</v>
      </c>
      <c r="D15" s="3">
        <v>0.41</v>
      </c>
      <c r="E15" s="3">
        <v>0.4</v>
      </c>
      <c r="F15" s="3">
        <v>0.39</v>
      </c>
      <c r="G15" s="3">
        <v>0.38</v>
      </c>
      <c r="H15" s="3">
        <v>0.38</v>
      </c>
      <c r="I15" s="3">
        <v>0.37</v>
      </c>
      <c r="J15" s="3">
        <v>0.36</v>
      </c>
      <c r="K15" s="3">
        <v>0.36</v>
      </c>
      <c r="L15" s="3">
        <v>0.35</v>
      </c>
      <c r="M15" s="3">
        <v>0.34</v>
      </c>
    </row>
    <row r="16" spans="1:13" ht="15.5" x14ac:dyDescent="0.35">
      <c r="A16" s="29">
        <v>12</v>
      </c>
      <c r="B16" s="3">
        <v>0.41</v>
      </c>
      <c r="C16" s="3">
        <v>0.4</v>
      </c>
      <c r="D16" s="3">
        <v>0.39</v>
      </c>
      <c r="E16" s="3">
        <v>0.38</v>
      </c>
      <c r="F16" s="3">
        <v>0.37</v>
      </c>
      <c r="G16" s="3">
        <v>0.36</v>
      </c>
      <c r="H16" s="3">
        <v>0.36</v>
      </c>
      <c r="I16" s="3">
        <v>0.35</v>
      </c>
      <c r="J16" s="3">
        <v>0.35</v>
      </c>
      <c r="K16" s="3">
        <v>0.34</v>
      </c>
      <c r="L16" s="3">
        <v>0.34</v>
      </c>
      <c r="M16" s="3">
        <v>0.32</v>
      </c>
    </row>
    <row r="17" spans="1:13" ht="15.5" x14ac:dyDescent="0.35">
      <c r="A17" s="29">
        <v>13</v>
      </c>
      <c r="B17" s="3">
        <v>0.39</v>
      </c>
      <c r="C17" s="3">
        <v>0.38</v>
      </c>
      <c r="D17" s="3">
        <v>0.37</v>
      </c>
      <c r="E17" s="3">
        <v>0.36</v>
      </c>
      <c r="F17" s="3">
        <v>0.35</v>
      </c>
      <c r="G17" s="3">
        <v>0.35</v>
      </c>
      <c r="H17" s="3">
        <v>0.34</v>
      </c>
      <c r="I17" s="3">
        <v>0.34</v>
      </c>
      <c r="J17" s="3">
        <v>0.33</v>
      </c>
      <c r="K17" s="3">
        <v>0.33</v>
      </c>
      <c r="L17" s="3">
        <v>0.32</v>
      </c>
      <c r="M17" s="3">
        <v>0.31</v>
      </c>
    </row>
    <row r="18" spans="1:13" ht="15.5" x14ac:dyDescent="0.35">
      <c r="A18" s="29">
        <v>14</v>
      </c>
      <c r="B18" s="3">
        <v>0.38</v>
      </c>
      <c r="C18" s="3">
        <v>0.36</v>
      </c>
      <c r="D18" s="3">
        <v>0.35</v>
      </c>
      <c r="E18" s="3">
        <v>0.35</v>
      </c>
      <c r="F18" s="3">
        <v>0.34</v>
      </c>
      <c r="G18" s="3">
        <v>0.33</v>
      </c>
      <c r="H18" s="3">
        <v>0.33</v>
      </c>
      <c r="I18" s="3">
        <v>0.32</v>
      </c>
      <c r="J18" s="3">
        <v>0.32</v>
      </c>
      <c r="K18" s="3">
        <v>0.31</v>
      </c>
      <c r="L18" s="3">
        <v>0.31</v>
      </c>
      <c r="M18" s="3">
        <v>0.28999999999999998</v>
      </c>
    </row>
    <row r="19" spans="1:13" ht="15.5" x14ac:dyDescent="0.35">
      <c r="A19" s="30">
        <v>15</v>
      </c>
      <c r="B19" s="4">
        <v>0.36</v>
      </c>
      <c r="C19" s="4">
        <v>0.35</v>
      </c>
      <c r="D19" s="4">
        <v>0.34</v>
      </c>
      <c r="E19" s="4">
        <v>0.33</v>
      </c>
      <c r="F19" s="4">
        <v>0.33</v>
      </c>
      <c r="G19" s="4">
        <v>0.32</v>
      </c>
      <c r="H19" s="4">
        <v>0.31</v>
      </c>
      <c r="I19" s="4">
        <v>0.31</v>
      </c>
      <c r="J19" s="4">
        <v>0.3</v>
      </c>
      <c r="K19" s="4">
        <v>0.3</v>
      </c>
      <c r="L19" s="4">
        <v>0.3</v>
      </c>
      <c r="M19" s="4">
        <v>0.28000000000000003</v>
      </c>
    </row>
  </sheetData>
  <mergeCells count="1">
    <mergeCell ref="B4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29B5-8A73-4088-AB09-4BD76602242C}">
  <dimension ref="A1:I22"/>
  <sheetViews>
    <sheetView workbookViewId="0"/>
  </sheetViews>
  <sheetFormatPr defaultRowHeight="14.5" x14ac:dyDescent="0.35"/>
  <sheetData>
    <row r="1" spans="1:9" x14ac:dyDescent="0.35">
      <c r="A1" t="s">
        <v>34</v>
      </c>
    </row>
    <row r="2" spans="1:9" x14ac:dyDescent="0.35">
      <c r="A2" t="s">
        <v>5</v>
      </c>
    </row>
    <row r="4" spans="1:9" ht="15.5" x14ac:dyDescent="0.35">
      <c r="A4" s="6"/>
      <c r="B4" s="42" t="s">
        <v>3</v>
      </c>
      <c r="C4" s="42"/>
      <c r="D4" s="42"/>
      <c r="E4" s="42"/>
      <c r="F4" s="42"/>
      <c r="G4" s="42"/>
      <c r="H4" s="42"/>
      <c r="I4" s="42"/>
    </row>
    <row r="5" spans="1:9" ht="15.5" x14ac:dyDescent="0.35">
      <c r="A5" s="11" t="s">
        <v>2</v>
      </c>
      <c r="B5" s="12">
        <v>3</v>
      </c>
      <c r="C5" s="12">
        <v>4</v>
      </c>
      <c r="D5" s="12">
        <v>5</v>
      </c>
      <c r="E5" s="12">
        <v>6</v>
      </c>
      <c r="F5" s="12">
        <v>7</v>
      </c>
      <c r="G5" s="12">
        <v>8</v>
      </c>
      <c r="H5" s="12">
        <v>9</v>
      </c>
      <c r="I5" s="12">
        <v>10</v>
      </c>
    </row>
    <row r="6" spans="1:9" ht="15.5" x14ac:dyDescent="0.35">
      <c r="A6" s="3">
        <v>0</v>
      </c>
      <c r="B6" s="3">
        <v>0.05</v>
      </c>
      <c r="C6" s="3">
        <v>0.05</v>
      </c>
      <c r="D6" s="3">
        <v>0.05</v>
      </c>
      <c r="E6" s="3">
        <v>0.05</v>
      </c>
      <c r="F6" s="3">
        <v>0.05</v>
      </c>
      <c r="G6" s="3">
        <v>0.05</v>
      </c>
      <c r="H6" s="3">
        <v>0.05</v>
      </c>
      <c r="I6" s="13">
        <v>0.05</v>
      </c>
    </row>
    <row r="7" spans="1:9" ht="15.5" x14ac:dyDescent="0.35">
      <c r="A7" s="3">
        <v>0.05</v>
      </c>
      <c r="B7" s="3">
        <v>5.3999999999999999E-2</v>
      </c>
      <c r="C7" s="3">
        <v>5.6000000000000001E-2</v>
      </c>
      <c r="D7" s="3">
        <v>5.8000000000000003E-2</v>
      </c>
      <c r="E7" s="3">
        <v>0.06</v>
      </c>
      <c r="F7" s="3">
        <v>6.2E-2</v>
      </c>
      <c r="G7" s="3">
        <v>6.4000000000000001E-2</v>
      </c>
      <c r="H7" s="13">
        <v>6.6000000000000003E-2</v>
      </c>
      <c r="I7" s="13">
        <v>6.8000000000000005E-2</v>
      </c>
    </row>
    <row r="8" spans="1:9" ht="15.5" x14ac:dyDescent="0.35">
      <c r="A8" s="3">
        <v>0.1</v>
      </c>
      <c r="B8" s="3">
        <v>6.7000000000000004E-2</v>
      </c>
      <c r="C8" s="3">
        <v>7.4999999999999997E-2</v>
      </c>
      <c r="D8" s="3">
        <v>8.3000000000000004E-2</v>
      </c>
      <c r="E8" s="3">
        <v>9.0999999999999998E-2</v>
      </c>
      <c r="F8" s="3">
        <v>9.9000000000000005E-2</v>
      </c>
      <c r="G8" s="3">
        <v>0.108</v>
      </c>
      <c r="H8" s="13">
        <v>0.11600000000000001</v>
      </c>
      <c r="I8" s="13">
        <v>0.124</v>
      </c>
    </row>
    <row r="9" spans="1:9" ht="15.5" x14ac:dyDescent="0.35">
      <c r="A9" s="3">
        <v>0.15</v>
      </c>
      <c r="B9" s="3">
        <v>8.8999999999999996E-2</v>
      </c>
      <c r="C9" s="3">
        <v>0.107</v>
      </c>
      <c r="D9" s="3">
        <v>0.126</v>
      </c>
      <c r="E9" s="3">
        <v>0.14399999999999999</v>
      </c>
      <c r="F9" s="3">
        <v>0.16300000000000001</v>
      </c>
      <c r="G9" s="3">
        <v>0.182</v>
      </c>
      <c r="H9" s="13">
        <v>0.20100000000000001</v>
      </c>
      <c r="I9" s="13">
        <v>0.22</v>
      </c>
    </row>
    <row r="10" spans="1:9" ht="15.5" x14ac:dyDescent="0.35">
      <c r="A10" s="3">
        <v>0.2</v>
      </c>
      <c r="B10" s="3">
        <v>0.121</v>
      </c>
      <c r="C10" s="3">
        <v>0.153</v>
      </c>
      <c r="D10" s="3">
        <v>0.186</v>
      </c>
      <c r="E10" s="3">
        <v>0.22</v>
      </c>
      <c r="F10" s="3">
        <v>0.254</v>
      </c>
      <c r="G10" s="3">
        <v>0.28699999999999998</v>
      </c>
      <c r="H10" s="13">
        <v>0.32</v>
      </c>
      <c r="I10" s="13">
        <v>0.35299999999999998</v>
      </c>
    </row>
    <row r="11" spans="1:9" ht="15.5" x14ac:dyDescent="0.35">
      <c r="A11" s="3">
        <v>0.25</v>
      </c>
      <c r="B11" s="3">
        <v>0.161</v>
      </c>
      <c r="C11" s="3">
        <v>0.21299999999999999</v>
      </c>
      <c r="D11" s="3">
        <v>0.26500000000000001</v>
      </c>
      <c r="E11" s="3">
        <v>0.316</v>
      </c>
      <c r="F11" s="3">
        <v>0.36599999999999999</v>
      </c>
      <c r="G11" s="3">
        <v>0.41499999999999998</v>
      </c>
      <c r="H11" s="13">
        <v>0.46200000000000002</v>
      </c>
      <c r="I11" s="13">
        <v>0.50600000000000001</v>
      </c>
    </row>
    <row r="12" spans="1:9" ht="15.5" x14ac:dyDescent="0.35">
      <c r="A12" s="3">
        <v>0.3</v>
      </c>
      <c r="B12" s="3">
        <v>0.21099999999999999</v>
      </c>
      <c r="C12" s="3">
        <v>0.28499999999999998</v>
      </c>
      <c r="D12" s="3">
        <v>0.35699999999999998</v>
      </c>
      <c r="E12" s="3">
        <v>0.42699999999999999</v>
      </c>
      <c r="F12" s="3">
        <v>0.49199999999999999</v>
      </c>
      <c r="G12" s="3">
        <v>0.55300000000000005</v>
      </c>
      <c r="H12" s="13">
        <v>0.60899999999999999</v>
      </c>
      <c r="I12" s="13">
        <v>0.65900000000000003</v>
      </c>
    </row>
    <row r="13" spans="1:9" ht="15.5" x14ac:dyDescent="0.35">
      <c r="A13" s="3">
        <v>0.35</v>
      </c>
      <c r="B13" s="3">
        <v>0.27</v>
      </c>
      <c r="C13" s="3">
        <v>0.36699999999999999</v>
      </c>
      <c r="D13" s="3">
        <v>0.45900000000000002</v>
      </c>
      <c r="E13" s="3">
        <v>0.54400000000000004</v>
      </c>
      <c r="F13" s="3">
        <v>0.61899999999999999</v>
      </c>
      <c r="G13" s="3">
        <v>0.68500000000000005</v>
      </c>
      <c r="H13" s="13">
        <v>0.74199999999999999</v>
      </c>
      <c r="I13" s="13">
        <v>0.79</v>
      </c>
    </row>
    <row r="14" spans="1:9" ht="15.5" x14ac:dyDescent="0.35">
      <c r="A14" s="3">
        <v>0.4</v>
      </c>
      <c r="B14" s="3">
        <v>0.33500000000000002</v>
      </c>
      <c r="C14" s="3">
        <v>0.45600000000000002</v>
      </c>
      <c r="D14" s="3">
        <v>0.56399999999999995</v>
      </c>
      <c r="E14" s="3">
        <v>0.65700000000000003</v>
      </c>
      <c r="F14" s="3">
        <v>0.73399999999999999</v>
      </c>
      <c r="G14" s="3">
        <v>0.79600000000000004</v>
      </c>
      <c r="H14" s="13">
        <v>0.84599999999999997</v>
      </c>
      <c r="I14" s="13">
        <v>0.88500000000000001</v>
      </c>
    </row>
    <row r="15" spans="1:9" ht="15.5" x14ac:dyDescent="0.35">
      <c r="A15" s="3">
        <v>0.45</v>
      </c>
      <c r="B15" s="3">
        <v>0.40600000000000003</v>
      </c>
      <c r="C15" s="3">
        <v>0.54700000000000004</v>
      </c>
      <c r="D15" s="3">
        <v>0.66400000000000003</v>
      </c>
      <c r="E15" s="3">
        <v>0.75700000000000001</v>
      </c>
      <c r="F15" s="3">
        <v>0.82799999999999996</v>
      </c>
      <c r="G15" s="3">
        <v>0.88</v>
      </c>
      <c r="H15" s="3">
        <v>0.91800000000000004</v>
      </c>
      <c r="I15" s="13">
        <v>0.94399999999999995</v>
      </c>
    </row>
    <row r="16" spans="1:9" ht="15.5" x14ac:dyDescent="0.35">
      <c r="A16" s="3">
        <v>0.5</v>
      </c>
      <c r="B16" s="3">
        <v>0.48</v>
      </c>
      <c r="C16" s="3">
        <v>0.63500000000000001</v>
      </c>
      <c r="D16" s="3">
        <v>0.754</v>
      </c>
      <c r="E16" s="3">
        <v>0.83899999999999997</v>
      </c>
      <c r="F16" s="3">
        <v>0.89800000000000002</v>
      </c>
      <c r="G16" s="3">
        <v>0.93600000000000005</v>
      </c>
      <c r="H16" s="3">
        <v>0.96099999999999997</v>
      </c>
      <c r="I16" s="13">
        <v>0.97599999999999998</v>
      </c>
    </row>
    <row r="17" spans="1:9" ht="15.5" x14ac:dyDescent="0.35">
      <c r="A17" s="3">
        <v>0.55000000000000004</v>
      </c>
      <c r="B17" s="3">
        <v>0.55400000000000005</v>
      </c>
      <c r="C17" s="3">
        <v>0.71599999999999997</v>
      </c>
      <c r="D17" s="3">
        <v>0.82899999999999996</v>
      </c>
      <c r="E17" s="3">
        <v>0.9</v>
      </c>
      <c r="F17" s="3">
        <v>0.94399999999999995</v>
      </c>
      <c r="G17" s="3">
        <v>0.96899999999999997</v>
      </c>
      <c r="H17" s="3">
        <v>0.98399999999999999</v>
      </c>
      <c r="I17" s="13">
        <v>0.99099999999999999</v>
      </c>
    </row>
    <row r="18" spans="1:9" ht="15.5" x14ac:dyDescent="0.35">
      <c r="A18" s="3">
        <v>0.6</v>
      </c>
      <c r="B18" s="3">
        <v>0.627</v>
      </c>
      <c r="C18" s="3">
        <v>0.78800000000000003</v>
      </c>
      <c r="D18" s="3">
        <v>0.88700000000000001</v>
      </c>
      <c r="E18" s="3">
        <v>0.94199999999999995</v>
      </c>
      <c r="F18" s="3">
        <v>0.97199999999999998</v>
      </c>
      <c r="G18" s="3">
        <v>0.98699999999999999</v>
      </c>
      <c r="H18" s="3">
        <v>0.99399999999999999</v>
      </c>
      <c r="I18" s="13">
        <v>0.997</v>
      </c>
    </row>
    <row r="19" spans="1:9" ht="15.5" x14ac:dyDescent="0.35">
      <c r="A19" s="3">
        <v>0.65</v>
      </c>
      <c r="B19" s="3">
        <v>0.69399999999999995</v>
      </c>
      <c r="C19" s="3">
        <v>0.84699999999999998</v>
      </c>
      <c r="D19" s="3">
        <v>0.92900000000000005</v>
      </c>
      <c r="E19" s="3">
        <v>0.96899999999999997</v>
      </c>
      <c r="F19" s="3">
        <v>0.98699999999999999</v>
      </c>
      <c r="G19" s="3">
        <v>0.995</v>
      </c>
      <c r="H19" s="3">
        <v>0.998</v>
      </c>
      <c r="I19" s="13">
        <v>0.999</v>
      </c>
    </row>
    <row r="20" spans="1:9" ht="15.5" x14ac:dyDescent="0.35">
      <c r="A20" s="3">
        <v>0.7</v>
      </c>
      <c r="B20" s="3">
        <v>0.75600000000000001</v>
      </c>
      <c r="C20" s="3">
        <v>0.89400000000000002</v>
      </c>
      <c r="D20" s="3">
        <v>0.95799999999999996</v>
      </c>
      <c r="E20" s="3">
        <v>0.98499999999999999</v>
      </c>
      <c r="F20" s="3">
        <v>0.995</v>
      </c>
      <c r="G20" s="3">
        <v>0.998</v>
      </c>
      <c r="H20" s="3">
        <v>0.999</v>
      </c>
      <c r="I20" s="13">
        <v>1</v>
      </c>
    </row>
    <row r="21" spans="1:9" ht="15.5" x14ac:dyDescent="0.35">
      <c r="A21" s="3">
        <v>0.75</v>
      </c>
      <c r="B21" s="3">
        <v>0.81</v>
      </c>
      <c r="C21" s="3">
        <v>0.93</v>
      </c>
      <c r="D21" s="3">
        <v>0.97699999999999998</v>
      </c>
      <c r="E21" s="3">
        <v>0.99299999999999999</v>
      </c>
      <c r="F21" s="3">
        <v>0.998</v>
      </c>
      <c r="G21" s="3">
        <v>0.999</v>
      </c>
      <c r="H21" s="3">
        <v>1</v>
      </c>
      <c r="I21" s="13">
        <v>1</v>
      </c>
    </row>
    <row r="22" spans="1:9" ht="15.5" x14ac:dyDescent="0.35">
      <c r="A22" s="4">
        <v>0.8</v>
      </c>
      <c r="B22" s="4">
        <v>0.85599999999999998</v>
      </c>
      <c r="C22" s="4">
        <v>0.95499999999999996</v>
      </c>
      <c r="D22" s="4">
        <v>0.98799999999999999</v>
      </c>
      <c r="E22" s="4">
        <v>0.997</v>
      </c>
      <c r="F22" s="4">
        <v>0.999</v>
      </c>
      <c r="G22" s="4">
        <v>1</v>
      </c>
      <c r="H22" s="4">
        <v>1</v>
      </c>
      <c r="I22" s="13">
        <v>1</v>
      </c>
    </row>
  </sheetData>
  <mergeCells count="1">
    <mergeCell ref="B4:I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34A3-AF27-4ED0-9F95-C32A897A46EA}">
  <dimension ref="A1:I22"/>
  <sheetViews>
    <sheetView workbookViewId="0"/>
  </sheetViews>
  <sheetFormatPr defaultRowHeight="14.5" x14ac:dyDescent="0.35"/>
  <sheetData>
    <row r="1" spans="1:9" x14ac:dyDescent="0.35">
      <c r="A1" t="s">
        <v>35</v>
      </c>
    </row>
    <row r="2" spans="1:9" x14ac:dyDescent="0.35">
      <c r="A2" t="s">
        <v>9</v>
      </c>
    </row>
    <row r="4" spans="1:9" ht="15.5" x14ac:dyDescent="0.35">
      <c r="A4" s="6"/>
      <c r="B4" s="42" t="s">
        <v>3</v>
      </c>
      <c r="C4" s="42"/>
      <c r="D4" s="42"/>
      <c r="E4" s="42"/>
      <c r="F4" s="42"/>
      <c r="G4" s="42"/>
      <c r="H4" s="42"/>
      <c r="I4" s="42"/>
    </row>
    <row r="5" spans="1:9" ht="15.5" x14ac:dyDescent="0.35">
      <c r="A5" s="11" t="s">
        <v>2</v>
      </c>
      <c r="B5" s="12">
        <v>3</v>
      </c>
      <c r="C5" s="12">
        <v>4</v>
      </c>
      <c r="D5" s="12">
        <v>5</v>
      </c>
      <c r="E5" s="12">
        <v>6</v>
      </c>
      <c r="F5" s="12">
        <v>7</v>
      </c>
      <c r="G5" s="12">
        <v>8</v>
      </c>
      <c r="H5" s="12">
        <v>9</v>
      </c>
      <c r="I5" s="12">
        <v>10</v>
      </c>
    </row>
    <row r="6" spans="1:9" ht="15.5" x14ac:dyDescent="0.35">
      <c r="A6" s="3">
        <v>0</v>
      </c>
      <c r="B6" s="3">
        <v>0.05</v>
      </c>
      <c r="C6" s="3">
        <v>0.05</v>
      </c>
      <c r="D6" s="3">
        <v>0.05</v>
      </c>
      <c r="E6" s="3">
        <v>0.05</v>
      </c>
      <c r="F6" s="3">
        <v>0.05</v>
      </c>
      <c r="G6" s="3">
        <v>0.05</v>
      </c>
      <c r="H6" s="13">
        <v>0.05</v>
      </c>
      <c r="I6" s="13">
        <v>0.05</v>
      </c>
    </row>
    <row r="7" spans="1:9" ht="15.5" x14ac:dyDescent="0.35">
      <c r="A7" s="3">
        <v>0.05</v>
      </c>
      <c r="B7" s="3">
        <v>5.6000000000000001E-2</v>
      </c>
      <c r="C7" s="3">
        <v>5.8000000000000003E-2</v>
      </c>
      <c r="D7" s="3">
        <v>0.06</v>
      </c>
      <c r="E7" s="3">
        <v>6.3E-2</v>
      </c>
      <c r="F7" s="3">
        <v>6.6000000000000003E-2</v>
      </c>
      <c r="G7" s="3">
        <v>6.8000000000000005E-2</v>
      </c>
      <c r="H7" s="13">
        <v>7.0999999999999994E-2</v>
      </c>
      <c r="I7" s="13">
        <v>7.2999999999999995E-2</v>
      </c>
    </row>
    <row r="8" spans="1:9" ht="15.5" x14ac:dyDescent="0.35">
      <c r="A8" s="3">
        <v>0.1</v>
      </c>
      <c r="B8" s="3">
        <v>7.1999999999999995E-2</v>
      </c>
      <c r="C8" s="3">
        <v>8.2000000000000003E-2</v>
      </c>
      <c r="D8" s="3">
        <v>9.2999999999999999E-2</v>
      </c>
      <c r="E8" s="3">
        <v>0.10299999999999999</v>
      </c>
      <c r="F8" s="3">
        <v>0.113</v>
      </c>
      <c r="G8" s="3">
        <v>0.124</v>
      </c>
      <c r="H8" s="13">
        <v>0.13500000000000001</v>
      </c>
      <c r="I8" s="13">
        <v>0.14599999999999999</v>
      </c>
    </row>
    <row r="9" spans="1:9" ht="15.5" x14ac:dyDescent="0.35">
      <c r="A9" s="3">
        <v>0.15</v>
      </c>
      <c r="B9" s="3">
        <v>0.10100000000000001</v>
      </c>
      <c r="C9" s="3">
        <v>0.124</v>
      </c>
      <c r="D9" s="3">
        <v>0.14699999999999999</v>
      </c>
      <c r="E9" s="3">
        <v>0.17199999999999999</v>
      </c>
      <c r="F9" s="3">
        <v>0.19600000000000001</v>
      </c>
      <c r="G9" s="3">
        <v>0.22</v>
      </c>
      <c r="H9" s="13">
        <v>0.24399999999999999</v>
      </c>
      <c r="I9" s="13">
        <v>0.26900000000000002</v>
      </c>
    </row>
    <row r="10" spans="1:9" ht="15.5" x14ac:dyDescent="0.35">
      <c r="A10" s="3">
        <v>0.2</v>
      </c>
      <c r="B10" s="3">
        <v>0.14099999999999999</v>
      </c>
      <c r="C10" s="3">
        <v>0.183</v>
      </c>
      <c r="D10" s="3">
        <v>0.22500000000000001</v>
      </c>
      <c r="E10" s="3">
        <v>0.26800000000000002</v>
      </c>
      <c r="F10" s="3">
        <v>0.311</v>
      </c>
      <c r="G10" s="3">
        <v>0.35199999999999998</v>
      </c>
      <c r="H10" s="13">
        <v>0.39300000000000002</v>
      </c>
      <c r="I10" s="13">
        <v>0.432</v>
      </c>
    </row>
    <row r="11" spans="1:9" ht="15.5" x14ac:dyDescent="0.35">
      <c r="A11" s="3">
        <v>0.25</v>
      </c>
      <c r="B11" s="3">
        <v>0.193</v>
      </c>
      <c r="C11" s="3">
        <v>0.25900000000000001</v>
      </c>
      <c r="D11" s="3">
        <v>0.32400000000000001</v>
      </c>
      <c r="E11" s="3">
        <v>0.38800000000000001</v>
      </c>
      <c r="F11" s="3">
        <v>0.44800000000000001</v>
      </c>
      <c r="G11" s="3">
        <v>0.50600000000000001</v>
      </c>
      <c r="H11" s="13">
        <v>0.55900000000000005</v>
      </c>
      <c r="I11" s="13">
        <v>0.60799999999999998</v>
      </c>
    </row>
    <row r="12" spans="1:9" ht="15.5" x14ac:dyDescent="0.35">
      <c r="A12" s="3">
        <v>0.3</v>
      </c>
      <c r="B12" s="3">
        <v>0.25600000000000001</v>
      </c>
      <c r="C12" s="3">
        <v>0.34899999999999998</v>
      </c>
      <c r="D12" s="3">
        <v>0.437</v>
      </c>
      <c r="E12" s="3">
        <v>0.51900000000000002</v>
      </c>
      <c r="F12" s="3">
        <v>0.59299999999999997</v>
      </c>
      <c r="G12" s="3">
        <v>0.65800000000000003</v>
      </c>
      <c r="H12" s="13">
        <v>0.71499999999999997</v>
      </c>
      <c r="I12" s="13">
        <v>0.76400000000000001</v>
      </c>
    </row>
    <row r="13" spans="1:9" ht="15.5" x14ac:dyDescent="0.35">
      <c r="A13" s="3">
        <v>0.35</v>
      </c>
      <c r="B13" s="3">
        <v>0.32900000000000001</v>
      </c>
      <c r="C13" s="3">
        <v>0.44800000000000001</v>
      </c>
      <c r="D13" s="3">
        <v>0.55500000000000005</v>
      </c>
      <c r="E13" s="3">
        <v>0.64800000000000002</v>
      </c>
      <c r="F13" s="3">
        <v>0.72499999999999998</v>
      </c>
      <c r="G13" s="3">
        <v>0.78800000000000003</v>
      </c>
      <c r="H13" s="13">
        <v>0.83899999999999997</v>
      </c>
      <c r="I13" s="13">
        <v>0.878</v>
      </c>
    </row>
    <row r="14" spans="1:9" ht="15.5" x14ac:dyDescent="0.35">
      <c r="A14" s="3">
        <v>0.4</v>
      </c>
      <c r="B14" s="3">
        <v>0.41</v>
      </c>
      <c r="C14" s="3">
        <v>0.55100000000000005</v>
      </c>
      <c r="D14" s="3">
        <v>0.66900000000000004</v>
      </c>
      <c r="E14" s="3">
        <v>0.76200000000000001</v>
      </c>
      <c r="F14" s="3">
        <v>0.83199999999999996</v>
      </c>
      <c r="G14" s="3">
        <v>0.88400000000000001</v>
      </c>
      <c r="H14" s="13">
        <v>0.92100000000000004</v>
      </c>
      <c r="I14" s="13">
        <v>0.94599999999999995</v>
      </c>
    </row>
    <row r="15" spans="1:9" ht="15.5" x14ac:dyDescent="0.35">
      <c r="A15" s="3">
        <v>0.45</v>
      </c>
      <c r="B15" s="3">
        <v>0.49299999999999999</v>
      </c>
      <c r="C15" s="3">
        <v>0.65</v>
      </c>
      <c r="D15" s="3">
        <v>0.76800000000000002</v>
      </c>
      <c r="E15" s="3">
        <v>0.85199999999999998</v>
      </c>
      <c r="F15" s="3">
        <v>0.90700000000000003</v>
      </c>
      <c r="G15" s="3">
        <v>0.94399999999999995</v>
      </c>
      <c r="H15" s="3">
        <v>0.96599999999999997</v>
      </c>
      <c r="I15" s="13">
        <v>0.98</v>
      </c>
    </row>
    <row r="16" spans="1:9" ht="15.5" x14ac:dyDescent="0.35">
      <c r="A16" s="3">
        <v>0.5</v>
      </c>
      <c r="B16" s="3">
        <v>0.57699999999999996</v>
      </c>
      <c r="C16" s="3">
        <v>0.74</v>
      </c>
      <c r="D16" s="3">
        <v>0.84799999999999998</v>
      </c>
      <c r="E16" s="3">
        <v>0.91500000000000004</v>
      </c>
      <c r="F16" s="3">
        <v>0.95399999999999996</v>
      </c>
      <c r="G16" s="3">
        <v>0.97599999999999998</v>
      </c>
      <c r="H16" s="3">
        <v>0.98799999999999999</v>
      </c>
      <c r="I16" s="13">
        <v>0.99399999999999999</v>
      </c>
    </row>
    <row r="17" spans="1:9" ht="15.5" x14ac:dyDescent="0.35">
      <c r="A17" s="3">
        <v>0.55000000000000004</v>
      </c>
      <c r="B17" s="3">
        <v>0.65700000000000003</v>
      </c>
      <c r="C17" s="3">
        <v>0.81599999999999995</v>
      </c>
      <c r="D17" s="3">
        <v>0.90700000000000003</v>
      </c>
      <c r="E17" s="3">
        <v>0.95599999999999996</v>
      </c>
      <c r="F17" s="3">
        <v>0.98</v>
      </c>
      <c r="G17" s="3">
        <v>0.99099999999999999</v>
      </c>
      <c r="H17" s="3">
        <v>0.996</v>
      </c>
      <c r="I17" s="13">
        <v>0.998</v>
      </c>
    </row>
    <row r="18" spans="1:9" ht="15.5" x14ac:dyDescent="0.35">
      <c r="A18" s="3">
        <v>0.6</v>
      </c>
      <c r="B18" s="3">
        <v>0.73099999999999998</v>
      </c>
      <c r="C18" s="3">
        <v>0.876</v>
      </c>
      <c r="D18" s="3">
        <v>0.94699999999999995</v>
      </c>
      <c r="E18" s="3">
        <v>0.97899999999999998</v>
      </c>
      <c r="F18" s="3">
        <v>0.99199999999999999</v>
      </c>
      <c r="G18" s="3">
        <v>0.997</v>
      </c>
      <c r="H18" s="3">
        <v>0.999</v>
      </c>
      <c r="I18" s="13">
        <v>1</v>
      </c>
    </row>
    <row r="19" spans="1:9" ht="15.5" x14ac:dyDescent="0.35">
      <c r="A19" s="3">
        <v>0.65</v>
      </c>
      <c r="B19" s="3">
        <v>0.79500000000000004</v>
      </c>
      <c r="C19" s="3">
        <v>0.92100000000000004</v>
      </c>
      <c r="D19" s="3">
        <v>0.97199999999999998</v>
      </c>
      <c r="E19" s="3">
        <v>0.99099999999999999</v>
      </c>
      <c r="F19" s="3">
        <v>0.997</v>
      </c>
      <c r="G19" s="3">
        <v>0.999</v>
      </c>
      <c r="H19" s="3">
        <v>1</v>
      </c>
      <c r="I19" s="13">
        <v>1</v>
      </c>
    </row>
    <row r="20" spans="1:9" ht="15.5" x14ac:dyDescent="0.35">
      <c r="A20" s="3">
        <v>0.7</v>
      </c>
      <c r="B20" s="3">
        <v>0.84899999999999998</v>
      </c>
      <c r="C20" s="3">
        <v>0.95199999999999996</v>
      </c>
      <c r="D20" s="3">
        <v>0.98599999999999999</v>
      </c>
      <c r="E20" s="3">
        <v>0.996</v>
      </c>
      <c r="F20" s="3">
        <v>0.999</v>
      </c>
      <c r="G20" s="3">
        <v>1</v>
      </c>
      <c r="H20" s="3">
        <v>1</v>
      </c>
      <c r="I20" s="13">
        <v>1</v>
      </c>
    </row>
    <row r="21" spans="1:9" ht="15.5" x14ac:dyDescent="0.35">
      <c r="A21" s="3">
        <v>0.75</v>
      </c>
      <c r="B21" s="3">
        <v>0.89200000000000002</v>
      </c>
      <c r="C21" s="3">
        <v>0.97199999999999998</v>
      </c>
      <c r="D21" s="3">
        <v>0.99399999999999999</v>
      </c>
      <c r="E21" s="3">
        <v>0.999</v>
      </c>
      <c r="F21" s="3">
        <v>1</v>
      </c>
      <c r="G21" s="3">
        <v>1</v>
      </c>
      <c r="H21" s="3">
        <v>1</v>
      </c>
      <c r="I21" s="13">
        <v>1</v>
      </c>
    </row>
    <row r="22" spans="1:9" ht="15.5" x14ac:dyDescent="0.35">
      <c r="A22" s="4">
        <v>0.8</v>
      </c>
      <c r="B22" s="4">
        <v>0.92600000000000005</v>
      </c>
      <c r="C22" s="4">
        <v>0.98499999999999999</v>
      </c>
      <c r="D22" s="4">
        <v>0.997</v>
      </c>
      <c r="E22" s="4">
        <v>1</v>
      </c>
      <c r="F22" s="4">
        <v>1</v>
      </c>
      <c r="G22" s="4">
        <v>1</v>
      </c>
      <c r="H22" s="4">
        <v>1</v>
      </c>
      <c r="I22" s="15">
        <v>1</v>
      </c>
    </row>
  </sheetData>
  <mergeCells count="1">
    <mergeCell ref="B4:I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2FE1-9D51-4E80-84FF-56BEDD569DDF}">
  <dimension ref="A1:I22"/>
  <sheetViews>
    <sheetView workbookViewId="0">
      <selection activeCell="F33" sqref="F33"/>
    </sheetView>
  </sheetViews>
  <sheetFormatPr defaultRowHeight="14.5" x14ac:dyDescent="0.35"/>
  <sheetData>
    <row r="1" spans="1:9" x14ac:dyDescent="0.35">
      <c r="A1" t="s">
        <v>36</v>
      </c>
    </row>
    <row r="2" spans="1:9" x14ac:dyDescent="0.35">
      <c r="A2" t="s">
        <v>6</v>
      </c>
    </row>
    <row r="4" spans="1:9" ht="15.5" x14ac:dyDescent="0.35">
      <c r="A4" s="6"/>
      <c r="B4" s="42" t="s">
        <v>3</v>
      </c>
      <c r="C4" s="42"/>
      <c r="D4" s="42"/>
      <c r="E4" s="42"/>
      <c r="F4" s="42"/>
      <c r="G4" s="42"/>
      <c r="H4" s="42"/>
      <c r="I4" s="42"/>
    </row>
    <row r="5" spans="1:9" ht="15.5" x14ac:dyDescent="0.35">
      <c r="A5" s="11" t="s">
        <v>2</v>
      </c>
      <c r="B5" s="12">
        <v>3</v>
      </c>
      <c r="C5" s="12">
        <v>4</v>
      </c>
      <c r="D5" s="12">
        <v>5</v>
      </c>
      <c r="E5" s="12">
        <v>6</v>
      </c>
      <c r="F5" s="12">
        <v>7</v>
      </c>
      <c r="G5" s="12">
        <v>8</v>
      </c>
      <c r="H5" s="12">
        <v>9</v>
      </c>
      <c r="I5" s="12">
        <v>10</v>
      </c>
    </row>
    <row r="6" spans="1:9" ht="15.5" x14ac:dyDescent="0.35">
      <c r="A6" s="3">
        <v>0</v>
      </c>
      <c r="B6" s="3">
        <v>0.05</v>
      </c>
      <c r="C6" s="3">
        <v>0.05</v>
      </c>
      <c r="D6" s="3">
        <v>0.05</v>
      </c>
      <c r="E6" s="3">
        <v>0.05</v>
      </c>
      <c r="F6" s="3">
        <v>0.05</v>
      </c>
      <c r="G6" s="3">
        <v>0.05</v>
      </c>
      <c r="H6" s="3">
        <v>0.05</v>
      </c>
      <c r="I6" s="3">
        <v>0.05</v>
      </c>
    </row>
    <row r="7" spans="1:9" ht="15.5" x14ac:dyDescent="0.35">
      <c r="A7" s="3">
        <v>0.05</v>
      </c>
      <c r="B7" s="3">
        <v>5.6000000000000001E-2</v>
      </c>
      <c r="C7" s="3">
        <v>5.8999999999999997E-2</v>
      </c>
      <c r="D7" s="3">
        <v>6.2E-2</v>
      </c>
      <c r="E7" s="3">
        <v>6.5000000000000002E-2</v>
      </c>
      <c r="F7" s="3">
        <v>6.8000000000000005E-2</v>
      </c>
      <c r="G7" s="3">
        <v>7.0999999999999994E-2</v>
      </c>
      <c r="H7" s="3">
        <v>7.3999999999999996E-2</v>
      </c>
      <c r="I7" s="3">
        <v>7.6999999999999999E-2</v>
      </c>
    </row>
    <row r="8" spans="1:9" ht="15.5" x14ac:dyDescent="0.35">
      <c r="A8" s="3">
        <v>0.1</v>
      </c>
      <c r="B8" s="3">
        <v>7.5999999999999998E-2</v>
      </c>
      <c r="C8" s="3">
        <v>8.7999999999999995E-2</v>
      </c>
      <c r="D8" s="3">
        <v>0.1</v>
      </c>
      <c r="E8" s="3">
        <v>0.112</v>
      </c>
      <c r="F8" s="3">
        <v>0.124</v>
      </c>
      <c r="G8" s="3">
        <v>0.13600000000000001</v>
      </c>
      <c r="H8" s="3">
        <v>0.14899999999999999</v>
      </c>
      <c r="I8" s="3">
        <v>0.16200000000000001</v>
      </c>
    </row>
    <row r="9" spans="1:9" ht="15.5" x14ac:dyDescent="0.35">
      <c r="A9" s="3">
        <v>0.15</v>
      </c>
      <c r="B9" s="3">
        <v>0.109</v>
      </c>
      <c r="C9" s="3">
        <v>0.13600000000000001</v>
      </c>
      <c r="D9" s="3">
        <v>0.16400000000000001</v>
      </c>
      <c r="E9" s="3">
        <v>0.192</v>
      </c>
      <c r="F9" s="3">
        <v>0.22</v>
      </c>
      <c r="G9" s="3">
        <v>0.248</v>
      </c>
      <c r="H9" s="3">
        <v>0.27600000000000002</v>
      </c>
      <c r="I9" s="3">
        <v>0.30399999999999999</v>
      </c>
    </row>
    <row r="10" spans="1:9" ht="15.5" x14ac:dyDescent="0.35">
      <c r="A10" s="3">
        <v>0.2</v>
      </c>
      <c r="B10" s="3">
        <v>0.156</v>
      </c>
      <c r="C10" s="3">
        <v>0.20499999999999999</v>
      </c>
      <c r="D10" s="3">
        <v>0.254</v>
      </c>
      <c r="E10" s="3">
        <v>0.30299999999999999</v>
      </c>
      <c r="F10" s="3">
        <v>0.35199999999999998</v>
      </c>
      <c r="G10" s="3">
        <v>0.39900000000000002</v>
      </c>
      <c r="H10" s="3">
        <v>0.44400000000000001</v>
      </c>
      <c r="I10" s="3">
        <v>0.48699999999999999</v>
      </c>
    </row>
    <row r="11" spans="1:9" ht="15.5" x14ac:dyDescent="0.35">
      <c r="A11" s="3">
        <v>0.25</v>
      </c>
      <c r="B11" s="3">
        <v>0.216</v>
      </c>
      <c r="C11" s="3">
        <v>0.29199999999999998</v>
      </c>
      <c r="D11" s="3">
        <v>0.36699999999999999</v>
      </c>
      <c r="E11" s="3">
        <v>0.438</v>
      </c>
      <c r="F11" s="3">
        <v>0.505</v>
      </c>
      <c r="G11" s="3">
        <v>0.56699999999999995</v>
      </c>
      <c r="H11" s="3">
        <v>0.623</v>
      </c>
      <c r="I11" s="3">
        <v>0.67300000000000004</v>
      </c>
    </row>
    <row r="12" spans="1:9" ht="15.5" x14ac:dyDescent="0.35">
      <c r="A12" s="3">
        <v>0.3</v>
      </c>
      <c r="B12" s="3">
        <v>0.28999999999999998</v>
      </c>
      <c r="C12" s="3">
        <v>0.39500000000000002</v>
      </c>
      <c r="D12" s="3">
        <v>0.49299999999999999</v>
      </c>
      <c r="E12" s="3">
        <v>0.57999999999999996</v>
      </c>
      <c r="F12" s="3">
        <v>0.65700000000000003</v>
      </c>
      <c r="G12" s="3">
        <v>0.72299999999999998</v>
      </c>
      <c r="H12" s="3">
        <v>0.77800000000000002</v>
      </c>
      <c r="I12" s="3">
        <v>0.82399999999999995</v>
      </c>
    </row>
    <row r="13" spans="1:9" ht="15.5" x14ac:dyDescent="0.35">
      <c r="A13" s="3">
        <v>0.35</v>
      </c>
      <c r="B13" s="3">
        <v>0.373</v>
      </c>
      <c r="C13" s="3">
        <v>0.504</v>
      </c>
      <c r="D13" s="3">
        <v>0.61899999999999999</v>
      </c>
      <c r="E13" s="3">
        <v>0.71299999999999997</v>
      </c>
      <c r="F13" s="3">
        <v>0.78700000000000003</v>
      </c>
      <c r="G13" s="3">
        <v>0.84499999999999997</v>
      </c>
      <c r="H13" s="3">
        <v>0.88900000000000001</v>
      </c>
      <c r="I13" s="3">
        <v>0.92100000000000004</v>
      </c>
    </row>
    <row r="14" spans="1:9" ht="15.5" x14ac:dyDescent="0.35">
      <c r="A14" s="3">
        <v>0.4</v>
      </c>
      <c r="B14" s="3">
        <v>0.46200000000000002</v>
      </c>
      <c r="C14" s="3">
        <v>0.61399999999999999</v>
      </c>
      <c r="D14" s="3">
        <v>0.73299999999999998</v>
      </c>
      <c r="E14" s="3">
        <v>0.82099999999999995</v>
      </c>
      <c r="F14" s="3">
        <v>0.88300000000000001</v>
      </c>
      <c r="G14" s="3">
        <v>0.92500000000000004</v>
      </c>
      <c r="H14" s="3">
        <v>0.95299999999999996</v>
      </c>
      <c r="I14" s="3">
        <v>0.97099999999999997</v>
      </c>
    </row>
    <row r="15" spans="1:9" ht="15.5" x14ac:dyDescent="0.35">
      <c r="A15" s="3">
        <v>0.45</v>
      </c>
      <c r="B15" s="3">
        <v>0.55300000000000005</v>
      </c>
      <c r="C15" s="3">
        <v>0.71399999999999997</v>
      </c>
      <c r="D15" s="3">
        <v>0.82699999999999996</v>
      </c>
      <c r="E15" s="3">
        <v>0.89900000000000002</v>
      </c>
      <c r="F15" s="3">
        <v>0.94299999999999995</v>
      </c>
      <c r="G15" s="3">
        <v>0.96899999999999997</v>
      </c>
      <c r="H15" s="3">
        <v>0.98299999999999998</v>
      </c>
      <c r="I15" s="3">
        <v>0.99099999999999999</v>
      </c>
    </row>
    <row r="16" spans="1:9" ht="15.5" x14ac:dyDescent="0.35">
      <c r="A16" s="3">
        <v>0.5</v>
      </c>
      <c r="B16" s="3">
        <v>0.64</v>
      </c>
      <c r="C16" s="3">
        <v>0.8</v>
      </c>
      <c r="D16" s="3">
        <v>0.89600000000000002</v>
      </c>
      <c r="E16" s="3">
        <v>0.94899999999999995</v>
      </c>
      <c r="F16" s="3">
        <v>0.97599999999999998</v>
      </c>
      <c r="G16" s="3">
        <v>0.98899999999999999</v>
      </c>
      <c r="H16" s="3">
        <v>0.995</v>
      </c>
      <c r="I16" s="3">
        <v>0.998</v>
      </c>
    </row>
    <row r="17" spans="1:9" ht="15.5" x14ac:dyDescent="0.35">
      <c r="A17" s="3">
        <v>0.55000000000000004</v>
      </c>
      <c r="B17" s="3">
        <v>0.72099999999999997</v>
      </c>
      <c r="C17" s="3">
        <v>0.86799999999999999</v>
      </c>
      <c r="D17" s="3">
        <v>0.94299999999999995</v>
      </c>
      <c r="E17" s="3">
        <v>0.97699999999999998</v>
      </c>
      <c r="F17" s="3">
        <v>0.99099999999999999</v>
      </c>
      <c r="G17" s="3">
        <v>0.997</v>
      </c>
      <c r="H17" s="3">
        <v>0.999</v>
      </c>
      <c r="I17" s="3">
        <v>1</v>
      </c>
    </row>
    <row r="18" spans="1:9" ht="15.5" x14ac:dyDescent="0.35">
      <c r="A18" s="3">
        <v>0.6</v>
      </c>
      <c r="B18" s="3">
        <v>0.79100000000000004</v>
      </c>
      <c r="C18" s="3">
        <v>0.91800000000000004</v>
      </c>
      <c r="D18" s="3">
        <v>0.97099999999999997</v>
      </c>
      <c r="E18" s="3">
        <v>0.99</v>
      </c>
      <c r="F18" s="3">
        <v>0.997</v>
      </c>
      <c r="G18" s="3">
        <v>0.999</v>
      </c>
      <c r="H18" s="3">
        <v>1</v>
      </c>
      <c r="I18" s="3">
        <v>1</v>
      </c>
    </row>
    <row r="19" spans="1:9" ht="15.5" x14ac:dyDescent="0.35">
      <c r="A19" s="3">
        <v>0.65</v>
      </c>
      <c r="B19" s="3">
        <v>0.85</v>
      </c>
      <c r="C19" s="3">
        <v>0.95199999999999996</v>
      </c>
      <c r="D19" s="3">
        <v>0.98699999999999999</v>
      </c>
      <c r="E19" s="3">
        <v>0.997</v>
      </c>
      <c r="F19" s="3">
        <v>0.999</v>
      </c>
      <c r="G19" s="3">
        <v>1</v>
      </c>
      <c r="H19" s="3">
        <v>1</v>
      </c>
      <c r="I19" s="3">
        <v>1</v>
      </c>
    </row>
    <row r="20" spans="1:9" ht="15.5" x14ac:dyDescent="0.35">
      <c r="A20" s="3">
        <v>0.7</v>
      </c>
      <c r="B20" s="3">
        <v>0.89600000000000002</v>
      </c>
      <c r="C20" s="3">
        <v>0.97399999999999998</v>
      </c>
      <c r="D20" s="3">
        <v>0.99399999999999999</v>
      </c>
      <c r="E20" s="3">
        <v>0.999</v>
      </c>
      <c r="F20" s="3">
        <v>1</v>
      </c>
      <c r="G20" s="3">
        <v>1</v>
      </c>
      <c r="H20" s="3">
        <v>1</v>
      </c>
      <c r="I20" s="3">
        <v>1</v>
      </c>
    </row>
    <row r="21" spans="1:9" ht="15.5" x14ac:dyDescent="0.35">
      <c r="A21" s="3">
        <v>0.75</v>
      </c>
      <c r="B21" s="3">
        <v>0.93100000000000005</v>
      </c>
      <c r="C21" s="3">
        <v>0.98699999999999999</v>
      </c>
      <c r="D21" s="3">
        <v>0.998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</row>
    <row r="22" spans="1:9" ht="15.5" x14ac:dyDescent="0.35">
      <c r="A22" s="4">
        <v>0.8</v>
      </c>
      <c r="B22" s="4">
        <v>0.95599999999999996</v>
      </c>
      <c r="C22" s="4">
        <v>0.99399999999999999</v>
      </c>
      <c r="D22" s="4">
        <v>0.999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</row>
  </sheetData>
  <mergeCells count="1">
    <mergeCell ref="B4:I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3A6B-3923-45AB-8D62-8E57D3871483}">
  <dimension ref="A1:T20"/>
  <sheetViews>
    <sheetView workbookViewId="0"/>
  </sheetViews>
  <sheetFormatPr defaultRowHeight="14.5" x14ac:dyDescent="0.35"/>
  <sheetData>
    <row r="1" spans="1:20" x14ac:dyDescent="0.35">
      <c r="A1" t="s">
        <v>37</v>
      </c>
    </row>
    <row r="2" spans="1:20" x14ac:dyDescent="0.35">
      <c r="A2" t="s">
        <v>14</v>
      </c>
    </row>
    <row r="4" spans="1:20" ht="15.5" x14ac:dyDescent="0.35">
      <c r="A4" s="16"/>
      <c r="B4" s="41" t="s">
        <v>0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20" ht="15.5" x14ac:dyDescent="0.35">
      <c r="A5" s="19" t="s">
        <v>3</v>
      </c>
      <c r="B5" s="20">
        <v>10</v>
      </c>
      <c r="C5" s="20">
        <v>11</v>
      </c>
      <c r="D5" s="20">
        <v>12</v>
      </c>
      <c r="E5" s="20">
        <v>13</v>
      </c>
      <c r="F5" s="20">
        <v>14</v>
      </c>
      <c r="G5" s="20">
        <v>15</v>
      </c>
      <c r="H5" s="20">
        <v>16</v>
      </c>
      <c r="I5" s="20">
        <v>17</v>
      </c>
      <c r="J5" s="20">
        <v>18</v>
      </c>
      <c r="K5" s="20">
        <v>19</v>
      </c>
      <c r="L5" s="20">
        <v>20</v>
      </c>
      <c r="M5" s="37">
        <v>25</v>
      </c>
    </row>
    <row r="6" spans="1:20" ht="15.5" x14ac:dyDescent="0.35">
      <c r="A6" s="8">
        <v>2</v>
      </c>
      <c r="B6" s="3">
        <v>1.01</v>
      </c>
      <c r="C6" s="3">
        <v>0.98</v>
      </c>
      <c r="D6" s="3">
        <v>0.96</v>
      </c>
      <c r="E6" s="3">
        <v>0.93</v>
      </c>
      <c r="F6" s="3">
        <v>0.91</v>
      </c>
      <c r="G6" s="3">
        <v>0.9</v>
      </c>
      <c r="H6" s="3">
        <v>0.88</v>
      </c>
      <c r="I6" s="3">
        <v>0.87</v>
      </c>
      <c r="J6" s="3">
        <v>0.85</v>
      </c>
      <c r="K6" s="3">
        <v>0.84</v>
      </c>
      <c r="L6" s="3">
        <v>0.83</v>
      </c>
    </row>
    <row r="7" spans="1:20" ht="15.5" x14ac:dyDescent="0.35">
      <c r="A7" s="8">
        <v>3</v>
      </c>
      <c r="B7" s="3">
        <v>0.74</v>
      </c>
      <c r="C7" s="3">
        <v>0.72</v>
      </c>
      <c r="D7" s="3">
        <v>0.7</v>
      </c>
      <c r="E7" s="3">
        <v>0.68</v>
      </c>
      <c r="F7" s="3">
        <v>0.67</v>
      </c>
      <c r="G7" s="3">
        <v>0.66</v>
      </c>
      <c r="H7" s="3">
        <v>0.64</v>
      </c>
      <c r="I7" s="3">
        <v>0.63</v>
      </c>
      <c r="J7" s="3">
        <v>0.62</v>
      </c>
      <c r="K7" s="3">
        <v>0.61</v>
      </c>
      <c r="L7" s="3">
        <v>0.61</v>
      </c>
      <c r="O7" t="s">
        <v>3</v>
      </c>
      <c r="P7" t="s">
        <v>26</v>
      </c>
      <c r="Q7" t="s">
        <v>27</v>
      </c>
      <c r="R7" t="s">
        <v>0</v>
      </c>
      <c r="S7" t="s">
        <v>25</v>
      </c>
      <c r="T7" t="s">
        <v>28</v>
      </c>
    </row>
    <row r="8" spans="1:20" ht="15.5" x14ac:dyDescent="0.35">
      <c r="A8" s="8">
        <v>4</v>
      </c>
      <c r="B8" s="3">
        <v>0.61</v>
      </c>
      <c r="C8" s="3">
        <v>0.59</v>
      </c>
      <c r="D8" s="3">
        <v>0.57999999999999996</v>
      </c>
      <c r="E8" s="3">
        <v>0.56000000000000005</v>
      </c>
      <c r="F8" s="3">
        <v>0.55000000000000004</v>
      </c>
      <c r="G8" s="3">
        <v>0.54</v>
      </c>
      <c r="H8" s="3">
        <v>0.53</v>
      </c>
      <c r="I8" s="3">
        <v>0.52</v>
      </c>
      <c r="J8" s="3">
        <v>0.51</v>
      </c>
      <c r="K8" s="3">
        <v>0.51</v>
      </c>
      <c r="L8" s="3">
        <v>0.5</v>
      </c>
      <c r="O8" s="29">
        <v>5</v>
      </c>
      <c r="P8" s="29">
        <v>2</v>
      </c>
      <c r="Q8" s="29">
        <v>2</v>
      </c>
      <c r="R8" s="29">
        <v>20</v>
      </c>
      <c r="S8">
        <f>O8*(P8+Q8)*R8</f>
        <v>400</v>
      </c>
      <c r="T8" s="3">
        <v>0.43</v>
      </c>
    </row>
    <row r="9" spans="1:20" ht="15.5" x14ac:dyDescent="0.35">
      <c r="A9" s="8">
        <v>5</v>
      </c>
      <c r="B9" s="3">
        <v>0.53</v>
      </c>
      <c r="C9" s="3">
        <v>0.51</v>
      </c>
      <c r="D9" s="3">
        <v>0.5</v>
      </c>
      <c r="E9" s="3">
        <v>0.49</v>
      </c>
      <c r="F9" s="3">
        <v>0.48</v>
      </c>
      <c r="G9" s="3">
        <v>0.47</v>
      </c>
      <c r="H9" s="3">
        <v>0.46</v>
      </c>
      <c r="I9" s="3">
        <v>0.45</v>
      </c>
      <c r="J9" s="3">
        <v>0.45</v>
      </c>
      <c r="K9" s="3">
        <v>0.44</v>
      </c>
      <c r="L9" s="3">
        <v>0.43</v>
      </c>
      <c r="O9" s="29">
        <v>5</v>
      </c>
      <c r="P9" s="29">
        <v>2</v>
      </c>
      <c r="Q9" s="29">
        <v>1</v>
      </c>
      <c r="R9" s="29">
        <v>20</v>
      </c>
      <c r="S9">
        <f>O9*(P9+Q9)*R9</f>
        <v>300</v>
      </c>
      <c r="T9" s="3">
        <v>0.56999999999999995</v>
      </c>
    </row>
    <row r="10" spans="1:20" ht="15.5" x14ac:dyDescent="0.35">
      <c r="A10" s="8">
        <v>6</v>
      </c>
      <c r="B10" s="3">
        <v>0.48</v>
      </c>
      <c r="C10" s="3">
        <v>0.46</v>
      </c>
      <c r="D10" s="3">
        <v>0.45</v>
      </c>
      <c r="E10" s="3">
        <v>0.44</v>
      </c>
      <c r="F10" s="3">
        <v>0.43</v>
      </c>
      <c r="G10" s="3">
        <v>0.42</v>
      </c>
      <c r="H10" s="3">
        <v>0.41</v>
      </c>
      <c r="I10" s="3">
        <v>0.41</v>
      </c>
      <c r="J10" s="3">
        <v>0.4</v>
      </c>
      <c r="K10" s="3">
        <v>0.4</v>
      </c>
      <c r="L10" s="3">
        <v>0.39</v>
      </c>
      <c r="O10" s="31">
        <v>5</v>
      </c>
      <c r="P10" s="31">
        <v>2</v>
      </c>
      <c r="Q10" s="31">
        <v>2</v>
      </c>
      <c r="R10" s="31">
        <v>15</v>
      </c>
      <c r="S10">
        <f>O10*(P10+Q10)*R10</f>
        <v>300</v>
      </c>
      <c r="T10" s="32">
        <v>0.47</v>
      </c>
    </row>
    <row r="11" spans="1:20" ht="15.5" x14ac:dyDescent="0.35">
      <c r="A11" s="8">
        <v>7</v>
      </c>
      <c r="B11" s="3">
        <v>0.43</v>
      </c>
      <c r="C11" s="3">
        <v>0.42</v>
      </c>
      <c r="D11" s="3">
        <v>0.41</v>
      </c>
      <c r="E11" s="3">
        <v>0.4</v>
      </c>
      <c r="F11" s="3">
        <v>0.39</v>
      </c>
      <c r="G11" s="3">
        <v>0.38</v>
      </c>
      <c r="H11" s="3">
        <v>0.38</v>
      </c>
      <c r="I11" s="3">
        <v>0.37</v>
      </c>
      <c r="J11" s="3">
        <v>0.37</v>
      </c>
      <c r="K11" s="3">
        <v>0.36</v>
      </c>
      <c r="L11" s="3">
        <v>0.36</v>
      </c>
      <c r="O11" s="31"/>
      <c r="P11" s="31"/>
      <c r="Q11" s="31"/>
      <c r="R11" s="31"/>
    </row>
    <row r="12" spans="1:20" ht="15.5" x14ac:dyDescent="0.35">
      <c r="A12" s="8">
        <v>8</v>
      </c>
      <c r="B12" s="3">
        <v>0.4</v>
      </c>
      <c r="C12" s="3">
        <v>0.39</v>
      </c>
      <c r="D12" s="3">
        <v>0.38</v>
      </c>
      <c r="E12" s="3">
        <v>0.37</v>
      </c>
      <c r="F12" s="3">
        <v>0.36</v>
      </c>
      <c r="G12" s="3">
        <v>0.36</v>
      </c>
      <c r="H12" s="3">
        <v>0.35</v>
      </c>
      <c r="I12" s="3">
        <v>0.34</v>
      </c>
      <c r="J12" s="3">
        <v>0.34</v>
      </c>
      <c r="K12" s="3">
        <v>0.33</v>
      </c>
      <c r="L12" s="3">
        <v>0.33</v>
      </c>
      <c r="O12" s="31"/>
      <c r="P12" s="31"/>
      <c r="Q12" s="31"/>
      <c r="R12" s="31"/>
    </row>
    <row r="13" spans="1:20" ht="15.5" x14ac:dyDescent="0.35">
      <c r="A13" s="8">
        <v>9</v>
      </c>
      <c r="B13" s="3">
        <v>0.38</v>
      </c>
      <c r="C13" s="3">
        <v>0.36</v>
      </c>
      <c r="D13" s="3">
        <v>0.35</v>
      </c>
      <c r="E13" s="3">
        <v>0.35</v>
      </c>
      <c r="F13" s="3">
        <v>0.34</v>
      </c>
      <c r="G13" s="3">
        <v>0.33</v>
      </c>
      <c r="H13" s="3">
        <v>0.33</v>
      </c>
      <c r="I13" s="3">
        <v>0.32</v>
      </c>
      <c r="J13" s="3">
        <v>0.32</v>
      </c>
      <c r="K13" s="3">
        <v>0.31</v>
      </c>
      <c r="L13" s="3">
        <v>0.31</v>
      </c>
      <c r="O13" s="31"/>
      <c r="P13" s="31"/>
      <c r="Q13" s="31"/>
      <c r="R13" s="31"/>
    </row>
    <row r="14" spans="1:20" ht="15.5" x14ac:dyDescent="0.35">
      <c r="A14" s="8">
        <v>10</v>
      </c>
      <c r="B14" s="3">
        <v>0.35</v>
      </c>
      <c r="C14" s="3">
        <v>0.34</v>
      </c>
      <c r="D14" s="3">
        <v>0.34</v>
      </c>
      <c r="E14" s="3">
        <v>0.33</v>
      </c>
      <c r="F14" s="3">
        <v>0.32</v>
      </c>
      <c r="G14" s="3">
        <v>0.31</v>
      </c>
      <c r="H14" s="3">
        <v>0.31</v>
      </c>
      <c r="I14" s="3">
        <v>0.3</v>
      </c>
      <c r="J14" s="3">
        <v>0.3</v>
      </c>
      <c r="K14" s="3">
        <v>0.28999999999999998</v>
      </c>
      <c r="L14" s="3">
        <v>0.28999999999999998</v>
      </c>
      <c r="O14" s="31"/>
      <c r="P14" s="31"/>
      <c r="Q14" s="31"/>
      <c r="R14" s="31"/>
    </row>
    <row r="15" spans="1:20" ht="15.5" x14ac:dyDescent="0.35">
      <c r="A15" s="8">
        <v>11</v>
      </c>
      <c r="B15" s="3">
        <v>0.34</v>
      </c>
      <c r="C15" s="3">
        <v>0.33</v>
      </c>
      <c r="D15" s="3">
        <v>0.32</v>
      </c>
      <c r="E15" s="3">
        <v>0.31</v>
      </c>
      <c r="F15" s="3">
        <v>0.3</v>
      </c>
      <c r="G15" s="3">
        <v>0.3</v>
      </c>
      <c r="H15" s="3">
        <v>0.28999999999999998</v>
      </c>
      <c r="I15" s="3">
        <v>0.28999999999999998</v>
      </c>
      <c r="J15" s="3">
        <v>0.28000000000000003</v>
      </c>
      <c r="K15" s="3">
        <v>0.28000000000000003</v>
      </c>
      <c r="L15" s="3">
        <v>0.28000000000000003</v>
      </c>
      <c r="O15" s="31"/>
      <c r="P15" s="31"/>
      <c r="Q15" s="31"/>
      <c r="R15" s="31"/>
    </row>
    <row r="16" spans="1:20" ht="15.5" x14ac:dyDescent="0.35">
      <c r="A16" s="8">
        <v>12</v>
      </c>
      <c r="B16" s="3">
        <v>0.32</v>
      </c>
      <c r="C16" s="3">
        <v>0.31</v>
      </c>
      <c r="D16" s="3">
        <v>0.3</v>
      </c>
      <c r="E16" s="3">
        <v>0.3</v>
      </c>
      <c r="F16" s="3">
        <v>0.28999999999999998</v>
      </c>
      <c r="G16" s="3">
        <v>0.28000000000000003</v>
      </c>
      <c r="H16" s="3">
        <v>0.28000000000000003</v>
      </c>
      <c r="I16" s="3">
        <v>0.28000000000000003</v>
      </c>
      <c r="J16" s="3">
        <v>0.27</v>
      </c>
      <c r="K16" s="3">
        <v>0.27</v>
      </c>
      <c r="L16" s="3">
        <v>0.26</v>
      </c>
      <c r="O16" s="31"/>
      <c r="P16" s="31"/>
      <c r="Q16" s="31"/>
      <c r="R16" s="31"/>
    </row>
    <row r="17" spans="1:18" ht="15.5" x14ac:dyDescent="0.35">
      <c r="A17" s="8">
        <v>13</v>
      </c>
      <c r="B17" s="3">
        <v>0.31</v>
      </c>
      <c r="C17" s="3">
        <v>0.3</v>
      </c>
      <c r="D17" s="3">
        <v>0.28999999999999998</v>
      </c>
      <c r="E17" s="3">
        <v>0.28000000000000003</v>
      </c>
      <c r="F17" s="3">
        <v>0.28000000000000003</v>
      </c>
      <c r="G17" s="3">
        <v>0.27</v>
      </c>
      <c r="H17" s="3">
        <v>0.27</v>
      </c>
      <c r="I17" s="3">
        <v>0.26</v>
      </c>
      <c r="J17" s="3">
        <v>0.26</v>
      </c>
      <c r="K17" s="3">
        <v>0.26</v>
      </c>
      <c r="L17" s="3">
        <v>0.25</v>
      </c>
      <c r="O17" s="31"/>
      <c r="P17" s="31"/>
      <c r="Q17" s="31">
        <f>300/4</f>
        <v>75</v>
      </c>
      <c r="R17" s="31"/>
    </row>
    <row r="18" spans="1:18" ht="15.5" x14ac:dyDescent="0.35">
      <c r="A18" s="8">
        <v>14</v>
      </c>
      <c r="B18" s="3">
        <v>0.3</v>
      </c>
      <c r="C18" s="3">
        <v>0.28999999999999998</v>
      </c>
      <c r="D18" s="3">
        <v>0.28000000000000003</v>
      </c>
      <c r="E18" s="3">
        <v>0.27</v>
      </c>
      <c r="F18" s="3">
        <v>0.27</v>
      </c>
      <c r="G18" s="3">
        <v>0.26</v>
      </c>
      <c r="H18" s="3">
        <v>0.26</v>
      </c>
      <c r="I18" s="3">
        <v>0.25</v>
      </c>
      <c r="J18" s="3">
        <v>0.25</v>
      </c>
      <c r="K18" s="3">
        <v>0.25</v>
      </c>
      <c r="L18" s="3">
        <v>0.24</v>
      </c>
      <c r="O18" s="31"/>
      <c r="P18" s="31"/>
      <c r="Q18" s="31"/>
      <c r="R18" s="31"/>
    </row>
    <row r="19" spans="1:18" ht="15.5" x14ac:dyDescent="0.35">
      <c r="A19" s="7">
        <v>15</v>
      </c>
      <c r="B19" s="4">
        <v>0.28000000000000003</v>
      </c>
      <c r="C19" s="4">
        <v>0.28000000000000003</v>
      </c>
      <c r="D19" s="4">
        <v>0.27</v>
      </c>
      <c r="E19" s="4">
        <v>0.26</v>
      </c>
      <c r="F19" s="4">
        <v>0.26</v>
      </c>
      <c r="G19" s="4">
        <v>0.25</v>
      </c>
      <c r="H19" s="4">
        <v>0.25</v>
      </c>
      <c r="I19" s="4">
        <v>0.24</v>
      </c>
      <c r="J19" s="4">
        <v>0.24</v>
      </c>
      <c r="K19" s="4">
        <v>0.24</v>
      </c>
      <c r="L19" s="4">
        <v>0.23</v>
      </c>
      <c r="O19" s="31"/>
      <c r="P19" s="31"/>
      <c r="Q19" s="31"/>
      <c r="R19" s="31"/>
    </row>
    <row r="20" spans="1:18" x14ac:dyDescent="0.35">
      <c r="O20" s="31"/>
      <c r="P20" s="31"/>
      <c r="Q20" s="31"/>
      <c r="R20" s="31"/>
    </row>
  </sheetData>
  <mergeCells count="1">
    <mergeCell ref="B4:M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DD73-12E9-4C3A-9D5C-DBDDE624E99D}">
  <dimension ref="A1:M24"/>
  <sheetViews>
    <sheetView workbookViewId="0"/>
  </sheetViews>
  <sheetFormatPr defaultRowHeight="14.5" x14ac:dyDescent="0.35"/>
  <sheetData>
    <row r="1" spans="1:13" x14ac:dyDescent="0.35">
      <c r="A1" t="s">
        <v>38</v>
      </c>
    </row>
    <row r="2" spans="1:13" x14ac:dyDescent="0.35">
      <c r="A2" t="s">
        <v>15</v>
      </c>
    </row>
    <row r="4" spans="1:13" ht="15.5" x14ac:dyDescent="0.35">
      <c r="A4" s="16"/>
      <c r="B4" s="41" t="s">
        <v>0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15.5" x14ac:dyDescent="0.35">
      <c r="A5" s="19" t="s">
        <v>3</v>
      </c>
      <c r="B5" s="20">
        <v>10</v>
      </c>
      <c r="C5" s="20">
        <v>11</v>
      </c>
      <c r="D5" s="20">
        <v>12</v>
      </c>
      <c r="E5" s="20">
        <v>13</v>
      </c>
      <c r="F5" s="20">
        <v>14</v>
      </c>
      <c r="G5" s="20">
        <v>15</v>
      </c>
      <c r="H5" s="20">
        <v>16</v>
      </c>
      <c r="I5" s="20">
        <v>17</v>
      </c>
      <c r="J5" s="20">
        <v>18</v>
      </c>
      <c r="K5" s="20">
        <v>19</v>
      </c>
      <c r="L5" s="20">
        <v>20</v>
      </c>
      <c r="M5" s="37">
        <v>25</v>
      </c>
    </row>
    <row r="6" spans="1:13" ht="15.5" x14ac:dyDescent="0.35">
      <c r="A6" s="29">
        <v>2</v>
      </c>
      <c r="B6" s="3">
        <v>0.7</v>
      </c>
      <c r="C6" s="3">
        <v>0.68</v>
      </c>
      <c r="D6" s="3">
        <v>0.66</v>
      </c>
      <c r="E6" s="3">
        <v>0.65</v>
      </c>
      <c r="F6" s="3">
        <v>0.64</v>
      </c>
      <c r="G6" s="3">
        <v>0.62</v>
      </c>
      <c r="H6" s="3">
        <v>0.61</v>
      </c>
      <c r="I6" s="3">
        <v>0.6</v>
      </c>
      <c r="J6" s="3">
        <v>0.59</v>
      </c>
      <c r="K6" s="3">
        <v>0.57999999999999996</v>
      </c>
      <c r="L6" s="3">
        <v>0.57999999999999996</v>
      </c>
    </row>
    <row r="7" spans="1:13" ht="15.5" x14ac:dyDescent="0.35">
      <c r="A7" s="29">
        <v>3</v>
      </c>
      <c r="B7" s="3">
        <v>0.55000000000000004</v>
      </c>
      <c r="C7" s="3">
        <v>0.53</v>
      </c>
      <c r="D7" s="3">
        <v>0.52</v>
      </c>
      <c r="E7" s="3">
        <v>0.5</v>
      </c>
      <c r="F7" s="3">
        <v>0.49</v>
      </c>
      <c r="G7" s="3">
        <v>0.48</v>
      </c>
      <c r="H7" s="3">
        <v>0.48</v>
      </c>
      <c r="I7" s="3">
        <v>0.47</v>
      </c>
      <c r="J7" s="3">
        <v>0.46</v>
      </c>
      <c r="K7" s="3">
        <v>0.46</v>
      </c>
      <c r="L7" s="3">
        <v>0.45</v>
      </c>
    </row>
    <row r="8" spans="1:13" ht="15.5" x14ac:dyDescent="0.35">
      <c r="A8" s="29">
        <v>4</v>
      </c>
      <c r="B8" s="3">
        <v>0.46</v>
      </c>
      <c r="C8" s="3">
        <v>0.45</v>
      </c>
      <c r="D8" s="3">
        <v>0.44</v>
      </c>
      <c r="E8" s="3">
        <v>0.43</v>
      </c>
      <c r="F8" s="3">
        <v>0.42</v>
      </c>
      <c r="G8" s="3">
        <v>0.41</v>
      </c>
      <c r="H8" s="3">
        <v>0.4</v>
      </c>
      <c r="I8" s="3">
        <v>0.4</v>
      </c>
      <c r="J8" s="3">
        <v>0.39</v>
      </c>
      <c r="K8" s="3">
        <v>0.39</v>
      </c>
      <c r="L8" s="3">
        <v>0.38</v>
      </c>
    </row>
    <row r="9" spans="1:13" ht="15.5" x14ac:dyDescent="0.35">
      <c r="A9" s="29">
        <v>5</v>
      </c>
      <c r="B9" s="3">
        <v>0.41</v>
      </c>
      <c r="C9" s="3">
        <v>0.4</v>
      </c>
      <c r="D9" s="3">
        <v>0.39</v>
      </c>
      <c r="E9" s="3">
        <v>0.38</v>
      </c>
      <c r="F9" s="3">
        <v>0.37</v>
      </c>
      <c r="G9" s="3">
        <v>0.36</v>
      </c>
      <c r="H9" s="3">
        <v>0.36</v>
      </c>
      <c r="I9" s="3">
        <v>0.35</v>
      </c>
      <c r="J9" s="3">
        <v>0.34</v>
      </c>
      <c r="K9" s="3">
        <v>0.34</v>
      </c>
      <c r="L9" s="3">
        <v>0.34</v>
      </c>
    </row>
    <row r="10" spans="1:13" ht="15.5" x14ac:dyDescent="0.35">
      <c r="A10" s="29">
        <v>6</v>
      </c>
      <c r="B10" s="3">
        <v>0.37</v>
      </c>
      <c r="C10" s="3">
        <v>0.36</v>
      </c>
      <c r="D10" s="3">
        <v>0.35</v>
      </c>
      <c r="E10" s="3">
        <v>0.34</v>
      </c>
      <c r="F10" s="3">
        <v>0.34</v>
      </c>
      <c r="G10" s="3">
        <v>0.33</v>
      </c>
      <c r="H10" s="3">
        <v>0.32</v>
      </c>
      <c r="I10" s="3">
        <v>0.32</v>
      </c>
      <c r="J10" s="3">
        <v>0.31</v>
      </c>
      <c r="K10" s="3">
        <v>0.31</v>
      </c>
      <c r="L10" s="3">
        <v>0.3</v>
      </c>
    </row>
    <row r="11" spans="1:13" ht="15.5" x14ac:dyDescent="0.35">
      <c r="A11" s="29">
        <v>7</v>
      </c>
      <c r="B11" s="3">
        <v>0.34</v>
      </c>
      <c r="C11" s="3">
        <v>0.33</v>
      </c>
      <c r="D11" s="3">
        <v>0.32</v>
      </c>
      <c r="E11" s="3">
        <v>0.32</v>
      </c>
      <c r="F11" s="3">
        <v>0.31</v>
      </c>
      <c r="G11" s="3">
        <v>0.3</v>
      </c>
      <c r="H11" s="3">
        <v>0.3</v>
      </c>
      <c r="I11" s="3">
        <v>0.28999999999999998</v>
      </c>
      <c r="J11" s="3">
        <v>0.28999999999999998</v>
      </c>
      <c r="K11" s="3">
        <v>0.28000000000000003</v>
      </c>
      <c r="L11" s="3">
        <v>0.28000000000000003</v>
      </c>
    </row>
    <row r="12" spans="1:13" ht="15.5" x14ac:dyDescent="0.35">
      <c r="A12" s="29">
        <v>8</v>
      </c>
      <c r="B12" s="3">
        <v>0.32</v>
      </c>
      <c r="C12" s="3">
        <v>0.31</v>
      </c>
      <c r="D12" s="3">
        <v>0.3</v>
      </c>
      <c r="E12" s="3">
        <v>0.28999999999999998</v>
      </c>
      <c r="F12" s="3">
        <v>0.28999999999999998</v>
      </c>
      <c r="G12" s="3">
        <v>0.28000000000000003</v>
      </c>
      <c r="H12" s="3">
        <v>0.28000000000000003</v>
      </c>
      <c r="I12" s="3">
        <v>0.27</v>
      </c>
      <c r="J12" s="3">
        <v>0.27</v>
      </c>
      <c r="K12" s="3">
        <v>0.26</v>
      </c>
      <c r="L12" s="3">
        <v>0.26</v>
      </c>
    </row>
    <row r="13" spans="1:13" ht="15.5" x14ac:dyDescent="0.35">
      <c r="A13" s="29">
        <v>9</v>
      </c>
      <c r="B13" s="3">
        <v>0.3</v>
      </c>
      <c r="C13" s="3">
        <v>0.28999999999999998</v>
      </c>
      <c r="D13" s="3">
        <v>0.28000000000000003</v>
      </c>
      <c r="E13" s="3">
        <v>0.28000000000000003</v>
      </c>
      <c r="F13" s="3">
        <v>0.27</v>
      </c>
      <c r="G13" s="3">
        <v>0.26</v>
      </c>
      <c r="H13" s="3">
        <v>0.26</v>
      </c>
      <c r="I13" s="3">
        <v>0.26</v>
      </c>
      <c r="J13" s="3">
        <v>0.25</v>
      </c>
      <c r="K13" s="3">
        <v>0.25</v>
      </c>
      <c r="L13" s="3">
        <v>0.24</v>
      </c>
    </row>
    <row r="14" spans="1:13" ht="15.5" x14ac:dyDescent="0.35">
      <c r="A14" s="29">
        <v>10</v>
      </c>
      <c r="B14" s="3">
        <v>0.28000000000000003</v>
      </c>
      <c r="C14" s="3">
        <v>0.27</v>
      </c>
      <c r="D14" s="3">
        <v>0.27</v>
      </c>
      <c r="E14" s="3">
        <v>0.26</v>
      </c>
      <c r="F14" s="3">
        <v>0.26</v>
      </c>
      <c r="G14" s="3">
        <v>0.25</v>
      </c>
      <c r="H14" s="3">
        <v>0.25</v>
      </c>
      <c r="I14" s="3">
        <v>0.24</v>
      </c>
      <c r="J14" s="3">
        <v>0.24</v>
      </c>
      <c r="K14" s="3">
        <v>0.24</v>
      </c>
      <c r="L14" s="3">
        <v>0.23</v>
      </c>
    </row>
    <row r="15" spans="1:13" ht="15.5" x14ac:dyDescent="0.35">
      <c r="A15" s="29">
        <v>11</v>
      </c>
      <c r="B15" s="3">
        <v>0.27</v>
      </c>
      <c r="C15" s="3">
        <v>0.26</v>
      </c>
      <c r="D15" s="3">
        <v>0.25</v>
      </c>
      <c r="E15" s="3">
        <v>0.25</v>
      </c>
      <c r="F15" s="3">
        <v>0.24</v>
      </c>
      <c r="G15" s="3">
        <v>0.24</v>
      </c>
      <c r="H15" s="3">
        <v>0.23</v>
      </c>
      <c r="I15" s="3">
        <v>0.23</v>
      </c>
      <c r="J15" s="3">
        <v>0.23</v>
      </c>
      <c r="K15" s="3">
        <v>0.22</v>
      </c>
      <c r="L15" s="3">
        <v>0.22</v>
      </c>
    </row>
    <row r="16" spans="1:13" ht="15.5" x14ac:dyDescent="0.35">
      <c r="A16" s="29">
        <v>12</v>
      </c>
      <c r="B16" s="3">
        <v>0.26</v>
      </c>
      <c r="C16" s="3">
        <v>0.25</v>
      </c>
      <c r="D16" s="3">
        <v>0.24</v>
      </c>
      <c r="E16" s="3">
        <v>0.24</v>
      </c>
      <c r="F16" s="3">
        <v>0.23</v>
      </c>
      <c r="G16" s="3">
        <v>0.23</v>
      </c>
      <c r="H16" s="3">
        <v>0.22</v>
      </c>
      <c r="I16" s="3">
        <v>0.22</v>
      </c>
      <c r="J16" s="3">
        <v>0.22</v>
      </c>
      <c r="K16" s="3">
        <v>0.21</v>
      </c>
      <c r="L16" s="3">
        <v>0.21</v>
      </c>
    </row>
    <row r="17" spans="1:12" ht="15.5" x14ac:dyDescent="0.35">
      <c r="A17" s="29">
        <v>13</v>
      </c>
      <c r="B17" s="3">
        <v>0.25</v>
      </c>
      <c r="C17" s="3">
        <v>0.24</v>
      </c>
      <c r="D17" s="3">
        <v>0.23</v>
      </c>
      <c r="E17" s="3">
        <v>0.23</v>
      </c>
      <c r="F17" s="3">
        <v>0.22</v>
      </c>
      <c r="G17" s="3">
        <v>0.22</v>
      </c>
      <c r="H17" s="3">
        <v>0.21</v>
      </c>
      <c r="I17" s="3">
        <v>0.21</v>
      </c>
      <c r="J17" s="3">
        <v>0.21</v>
      </c>
      <c r="K17" s="3">
        <v>0.2</v>
      </c>
      <c r="L17" s="3">
        <v>0.2</v>
      </c>
    </row>
    <row r="18" spans="1:12" ht="15.5" x14ac:dyDescent="0.35">
      <c r="A18" s="29">
        <v>14</v>
      </c>
      <c r="B18" s="3">
        <v>0.24</v>
      </c>
      <c r="C18" s="3">
        <v>0.23</v>
      </c>
      <c r="D18" s="3">
        <v>0.22</v>
      </c>
      <c r="E18" s="3">
        <v>0.22</v>
      </c>
      <c r="F18" s="3">
        <v>0.21</v>
      </c>
      <c r="G18" s="3">
        <v>0.21</v>
      </c>
      <c r="H18" s="3">
        <v>0.21</v>
      </c>
      <c r="I18" s="3">
        <v>0.2</v>
      </c>
      <c r="J18" s="3">
        <v>0.2</v>
      </c>
      <c r="K18" s="3">
        <v>0.2</v>
      </c>
      <c r="L18" s="3">
        <v>0.2</v>
      </c>
    </row>
    <row r="19" spans="1:12" ht="15.5" x14ac:dyDescent="0.35">
      <c r="A19" s="30">
        <v>15</v>
      </c>
      <c r="B19" s="4">
        <v>0.23</v>
      </c>
      <c r="C19" s="4">
        <v>0.22</v>
      </c>
      <c r="D19" s="4">
        <v>0.22</v>
      </c>
      <c r="E19" s="4">
        <v>0.21</v>
      </c>
      <c r="F19" s="4">
        <v>0.21</v>
      </c>
      <c r="G19" s="4">
        <v>0.2</v>
      </c>
      <c r="H19" s="4">
        <v>0.2</v>
      </c>
      <c r="I19" s="4">
        <v>0.2</v>
      </c>
      <c r="J19" s="4">
        <v>0.19</v>
      </c>
      <c r="K19" s="4">
        <v>0.19</v>
      </c>
      <c r="L19" s="4">
        <v>0.19</v>
      </c>
    </row>
    <row r="23" spans="1:12" x14ac:dyDescent="0.35">
      <c r="B23">
        <f>4*4*20</f>
        <v>320</v>
      </c>
      <c r="C23">
        <f>6*4*16</f>
        <v>384</v>
      </c>
    </row>
    <row r="24" spans="1:12" x14ac:dyDescent="0.35">
      <c r="B24">
        <f>4*5*12</f>
        <v>240</v>
      </c>
      <c r="C24">
        <f>6*5*11</f>
        <v>330</v>
      </c>
    </row>
  </sheetData>
  <mergeCells count="1">
    <mergeCell ref="B4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F493-C595-4235-AF1B-7013EDF79353}">
  <dimension ref="A1:Y19"/>
  <sheetViews>
    <sheetView workbookViewId="0">
      <selection activeCell="F23" sqref="F23"/>
    </sheetView>
  </sheetViews>
  <sheetFormatPr defaultRowHeight="14.5" x14ac:dyDescent="0.35"/>
  <sheetData>
    <row r="1" spans="1:25" x14ac:dyDescent="0.35">
      <c r="A1" t="s">
        <v>40</v>
      </c>
    </row>
    <row r="2" spans="1:25" x14ac:dyDescent="0.35">
      <c r="A2" t="s">
        <v>29</v>
      </c>
    </row>
    <row r="4" spans="1:25" ht="15.5" x14ac:dyDescent="0.35">
      <c r="A4" s="16"/>
      <c r="B4" s="41" t="s">
        <v>0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3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ht="15.5" x14ac:dyDescent="0.35">
      <c r="A5" s="19" t="s">
        <v>3</v>
      </c>
      <c r="B5" s="20">
        <v>10</v>
      </c>
      <c r="C5" s="20">
        <v>11</v>
      </c>
      <c r="D5" s="20">
        <v>12</v>
      </c>
      <c r="E5" s="20">
        <v>13</v>
      </c>
      <c r="F5" s="20">
        <v>14</v>
      </c>
      <c r="G5" s="20">
        <v>15</v>
      </c>
      <c r="H5" s="20">
        <v>16</v>
      </c>
      <c r="I5" s="20">
        <v>17</v>
      </c>
      <c r="J5" s="20">
        <v>18</v>
      </c>
      <c r="K5" s="20">
        <v>19</v>
      </c>
      <c r="L5" s="20">
        <v>20</v>
      </c>
      <c r="M5" s="37">
        <v>25</v>
      </c>
      <c r="N5" s="34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5.5" x14ac:dyDescent="0.35">
      <c r="A6" s="29">
        <v>2</v>
      </c>
      <c r="B6" s="3">
        <v>1.17</v>
      </c>
      <c r="C6" s="3">
        <v>1.1399999999999999</v>
      </c>
      <c r="D6" s="3">
        <v>1.1000000000000001</v>
      </c>
      <c r="E6" s="3">
        <v>1.08</v>
      </c>
      <c r="F6" s="3">
        <v>1.05</v>
      </c>
      <c r="G6" s="3">
        <v>1.03</v>
      </c>
      <c r="H6" s="3">
        <v>1.02</v>
      </c>
      <c r="I6" s="3">
        <v>1</v>
      </c>
      <c r="J6" s="3">
        <v>0.98</v>
      </c>
      <c r="K6" s="3">
        <v>0.97</v>
      </c>
      <c r="L6" s="3">
        <v>0.96</v>
      </c>
      <c r="M6" s="36">
        <v>0.91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15.5" x14ac:dyDescent="0.35">
      <c r="A7" s="29">
        <v>3</v>
      </c>
      <c r="B7" s="3">
        <v>0.85</v>
      </c>
      <c r="C7" s="3">
        <v>0.83</v>
      </c>
      <c r="D7" s="3">
        <v>0.81</v>
      </c>
      <c r="E7" s="3">
        <v>0.79</v>
      </c>
      <c r="F7" s="3">
        <v>0.77</v>
      </c>
      <c r="G7" s="3">
        <v>0.76</v>
      </c>
      <c r="H7" s="3">
        <v>0.74</v>
      </c>
      <c r="I7" s="3">
        <v>0.73</v>
      </c>
      <c r="J7" s="3">
        <v>0.72</v>
      </c>
      <c r="K7" s="3">
        <v>0.71</v>
      </c>
      <c r="L7" s="36">
        <v>0.7</v>
      </c>
      <c r="M7" s="36">
        <v>0.67</v>
      </c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 ht="15.5" x14ac:dyDescent="0.35">
      <c r="A8" s="29">
        <v>4</v>
      </c>
      <c r="B8" s="3">
        <v>0.7</v>
      </c>
      <c r="C8" s="3">
        <v>0.68</v>
      </c>
      <c r="D8" s="3">
        <v>0.66</v>
      </c>
      <c r="E8" s="3">
        <v>0.65</v>
      </c>
      <c r="F8" s="3">
        <v>0.64</v>
      </c>
      <c r="G8" s="3">
        <v>0.62</v>
      </c>
      <c r="H8" s="3">
        <v>0.61</v>
      </c>
      <c r="I8" s="3">
        <v>0.6</v>
      </c>
      <c r="J8" s="3">
        <v>0.59</v>
      </c>
      <c r="K8" s="3">
        <v>0.57999999999999996</v>
      </c>
      <c r="L8" s="36">
        <v>0.57999999999999996</v>
      </c>
      <c r="M8" s="36">
        <v>0.55000000000000004</v>
      </c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ht="15.5" x14ac:dyDescent="0.35">
      <c r="A9" s="29">
        <v>5</v>
      </c>
      <c r="B9" s="3">
        <v>0.61</v>
      </c>
      <c r="C9" s="3">
        <v>0.59</v>
      </c>
      <c r="D9" s="3">
        <v>0.57999999999999996</v>
      </c>
      <c r="E9" s="3">
        <v>0.56000000000000005</v>
      </c>
      <c r="F9" s="3">
        <v>0.55000000000000004</v>
      </c>
      <c r="G9" s="3">
        <v>0.54</v>
      </c>
      <c r="H9" s="3">
        <v>0.53</v>
      </c>
      <c r="I9" s="3">
        <v>0.52</v>
      </c>
      <c r="J9" s="3">
        <v>0.52</v>
      </c>
      <c r="K9" s="3">
        <v>0.51</v>
      </c>
      <c r="L9" s="36">
        <v>0.5</v>
      </c>
      <c r="M9" s="36">
        <v>0.48</v>
      </c>
      <c r="P9" s="36"/>
      <c r="Q9" s="36"/>
      <c r="R9" s="36"/>
      <c r="S9" s="36"/>
      <c r="T9" s="36"/>
      <c r="U9" s="36"/>
      <c r="V9" s="36"/>
      <c r="W9" s="36"/>
      <c r="X9" s="36"/>
      <c r="Y9" s="36"/>
    </row>
    <row r="10" spans="1:25" ht="15.5" x14ac:dyDescent="0.35">
      <c r="A10" s="29">
        <v>6</v>
      </c>
      <c r="B10" s="3">
        <v>0.55000000000000004</v>
      </c>
      <c r="C10" s="3">
        <v>0.53</v>
      </c>
      <c r="D10" s="3">
        <v>0.52</v>
      </c>
      <c r="E10" s="3">
        <v>0.5</v>
      </c>
      <c r="F10" s="3">
        <v>0.49</v>
      </c>
      <c r="G10" s="3">
        <v>0.48</v>
      </c>
      <c r="H10" s="3">
        <v>0.48</v>
      </c>
      <c r="I10" s="3">
        <v>0.47</v>
      </c>
      <c r="J10" s="3">
        <v>0.46</v>
      </c>
      <c r="K10" s="3">
        <v>0.46</v>
      </c>
      <c r="L10" s="36">
        <v>0.45</v>
      </c>
      <c r="M10" s="36">
        <v>0.43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spans="1:25" ht="15.5" x14ac:dyDescent="0.35">
      <c r="A11" s="29">
        <v>7</v>
      </c>
      <c r="B11" s="3">
        <v>0.5</v>
      </c>
      <c r="C11" s="3">
        <v>0.49</v>
      </c>
      <c r="D11" s="3">
        <v>0.47</v>
      </c>
      <c r="E11" s="3">
        <v>0.46</v>
      </c>
      <c r="F11" s="3">
        <v>0.45</v>
      </c>
      <c r="G11" s="3">
        <v>0.44</v>
      </c>
      <c r="H11" s="3">
        <v>0.43</v>
      </c>
      <c r="I11" s="3">
        <v>0.43</v>
      </c>
      <c r="J11" s="3">
        <v>0.42</v>
      </c>
      <c r="K11" s="3">
        <v>0.42</v>
      </c>
      <c r="L11" s="36">
        <v>0.41</v>
      </c>
      <c r="M11" s="36">
        <v>0.39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ht="15.5" x14ac:dyDescent="0.35">
      <c r="A12" s="29">
        <v>8</v>
      </c>
      <c r="B12" s="3">
        <v>0.46</v>
      </c>
      <c r="C12" s="3">
        <v>0.45</v>
      </c>
      <c r="D12" s="3">
        <v>0.44</v>
      </c>
      <c r="E12" s="3">
        <v>0.43</v>
      </c>
      <c r="F12" s="3">
        <v>0.42</v>
      </c>
      <c r="G12" s="3">
        <v>0.41</v>
      </c>
      <c r="H12" s="3">
        <v>0.4</v>
      </c>
      <c r="I12" s="3">
        <v>0.4</v>
      </c>
      <c r="J12" s="3">
        <v>0.39</v>
      </c>
      <c r="K12" s="3">
        <v>0.39</v>
      </c>
      <c r="L12" s="36">
        <v>0.38</v>
      </c>
      <c r="M12" s="36">
        <v>0.36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spans="1:25" ht="15.5" x14ac:dyDescent="0.35">
      <c r="A13" s="29">
        <v>9</v>
      </c>
      <c r="B13" s="3">
        <v>0.43</v>
      </c>
      <c r="C13" s="3">
        <v>0.42</v>
      </c>
      <c r="D13" s="3">
        <v>0.41</v>
      </c>
      <c r="E13" s="3">
        <v>0.4</v>
      </c>
      <c r="F13" s="3">
        <v>0.39</v>
      </c>
      <c r="G13" s="3">
        <v>0.38</v>
      </c>
      <c r="H13" s="3">
        <v>0.38</v>
      </c>
      <c r="I13" s="3">
        <v>0.37</v>
      </c>
      <c r="J13" s="3">
        <v>0.37</v>
      </c>
      <c r="K13" s="3">
        <v>0.36</v>
      </c>
      <c r="L13" s="36">
        <v>0.36</v>
      </c>
      <c r="M13" s="36">
        <v>0.34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spans="1:25" ht="15.5" x14ac:dyDescent="0.35">
      <c r="A14" s="29">
        <v>10</v>
      </c>
      <c r="B14" s="3">
        <v>0.41</v>
      </c>
      <c r="C14" s="3">
        <v>0.4</v>
      </c>
      <c r="D14" s="3">
        <v>0.39</v>
      </c>
      <c r="E14" s="3">
        <v>0.38</v>
      </c>
      <c r="F14" s="3">
        <v>0.37</v>
      </c>
      <c r="G14" s="3">
        <v>0.36</v>
      </c>
      <c r="H14" s="3">
        <v>0.36</v>
      </c>
      <c r="I14" s="3">
        <v>0.35</v>
      </c>
      <c r="J14" s="3">
        <v>0.34</v>
      </c>
      <c r="K14" s="3">
        <v>0.34</v>
      </c>
      <c r="L14" s="36">
        <v>0.34</v>
      </c>
      <c r="M14" s="36">
        <v>0.32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ht="15.5" x14ac:dyDescent="0.35">
      <c r="A15" s="29">
        <v>11</v>
      </c>
      <c r="B15" s="3">
        <v>0.39</v>
      </c>
      <c r="C15" s="3">
        <v>0.38</v>
      </c>
      <c r="D15" s="3">
        <v>0.37</v>
      </c>
      <c r="E15" s="3">
        <v>0.36</v>
      </c>
      <c r="F15" s="3">
        <v>0.35</v>
      </c>
      <c r="G15" s="3">
        <v>0.34</v>
      </c>
      <c r="H15" s="3">
        <v>0.34</v>
      </c>
      <c r="I15" s="3">
        <v>0.33</v>
      </c>
      <c r="J15" s="3">
        <v>0.33</v>
      </c>
      <c r="K15" s="3">
        <v>0.32</v>
      </c>
      <c r="L15" s="3">
        <v>0.32</v>
      </c>
      <c r="M15" s="36">
        <v>0.3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 ht="15.5" x14ac:dyDescent="0.35">
      <c r="A16" s="29">
        <v>12</v>
      </c>
      <c r="B16" s="3">
        <v>0.37</v>
      </c>
      <c r="C16" s="3">
        <v>0.36</v>
      </c>
      <c r="D16" s="3">
        <v>0.35</v>
      </c>
      <c r="E16" s="3">
        <v>0.34</v>
      </c>
      <c r="F16" s="3">
        <v>0.34</v>
      </c>
      <c r="G16" s="3">
        <v>0.33</v>
      </c>
      <c r="H16" s="3">
        <v>0.32</v>
      </c>
      <c r="I16" s="3">
        <v>0.32</v>
      </c>
      <c r="J16" s="3">
        <v>0.31</v>
      </c>
      <c r="K16" s="3">
        <v>0.31</v>
      </c>
      <c r="L16" s="3">
        <v>0.3</v>
      </c>
      <c r="M16" s="36">
        <v>0.28999999999999998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ht="15.5" x14ac:dyDescent="0.35">
      <c r="A17" s="29">
        <v>13</v>
      </c>
      <c r="B17" s="3">
        <v>0.35</v>
      </c>
      <c r="C17" s="3">
        <v>0.34</v>
      </c>
      <c r="D17" s="3">
        <v>0.34</v>
      </c>
      <c r="E17" s="3">
        <v>0.33</v>
      </c>
      <c r="F17" s="3">
        <v>0.32</v>
      </c>
      <c r="G17" s="3">
        <v>0.31</v>
      </c>
      <c r="H17" s="3">
        <v>0.31</v>
      </c>
      <c r="I17" s="3">
        <v>0.3</v>
      </c>
      <c r="J17" s="3">
        <v>0.3</v>
      </c>
      <c r="K17" s="3">
        <v>0.28999999999999998</v>
      </c>
      <c r="L17" s="3">
        <v>0.28999999999999998</v>
      </c>
      <c r="M17" s="36">
        <v>0.28000000000000003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ht="15.5" x14ac:dyDescent="0.35">
      <c r="A18" s="29">
        <v>14</v>
      </c>
      <c r="B18" s="3">
        <v>0.34</v>
      </c>
      <c r="C18" s="3">
        <v>0.33</v>
      </c>
      <c r="D18" s="3">
        <v>0.32</v>
      </c>
      <c r="E18" s="3">
        <v>0.32</v>
      </c>
      <c r="F18" s="3">
        <v>0.31</v>
      </c>
      <c r="G18" s="3">
        <v>0.3</v>
      </c>
      <c r="H18" s="3">
        <v>0.3</v>
      </c>
      <c r="I18" s="3">
        <v>0.28999999999999998</v>
      </c>
      <c r="J18" s="3">
        <v>0.28999999999999998</v>
      </c>
      <c r="K18" s="3">
        <v>0.28000000000000003</v>
      </c>
      <c r="L18" s="3">
        <v>0.28000000000000003</v>
      </c>
      <c r="M18" s="36">
        <v>0.27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ht="15.5" x14ac:dyDescent="0.35">
      <c r="A19" s="30">
        <v>15</v>
      </c>
      <c r="B19" s="4">
        <v>0.33</v>
      </c>
      <c r="C19" s="4">
        <v>0.32</v>
      </c>
      <c r="D19" s="4">
        <v>0.31</v>
      </c>
      <c r="E19" s="4">
        <v>0.3</v>
      </c>
      <c r="F19" s="4">
        <v>0.3</v>
      </c>
      <c r="G19" s="4">
        <v>0.28999999999999998</v>
      </c>
      <c r="H19" s="4">
        <v>0.28999999999999998</v>
      </c>
      <c r="I19" s="4">
        <v>0.28000000000000003</v>
      </c>
      <c r="J19" s="4">
        <v>0.28000000000000003</v>
      </c>
      <c r="K19" s="4">
        <v>0.27</v>
      </c>
      <c r="L19" s="4">
        <v>0.27</v>
      </c>
      <c r="M19" s="4">
        <v>0.26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</sheetData>
  <mergeCells count="2">
    <mergeCell ref="O4:Y4"/>
    <mergeCell ref="B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15A6-8E3B-46C7-A9C7-8CA773E7B255}">
  <dimension ref="A1:I22"/>
  <sheetViews>
    <sheetView workbookViewId="0">
      <selection activeCell="I22" sqref="I22"/>
    </sheetView>
  </sheetViews>
  <sheetFormatPr defaultRowHeight="14.5" x14ac:dyDescent="0.35"/>
  <sheetData>
    <row r="1" spans="1:9" x14ac:dyDescent="0.35">
      <c r="A1" t="s">
        <v>4</v>
      </c>
    </row>
    <row r="2" spans="1:9" x14ac:dyDescent="0.35">
      <c r="A2" t="s">
        <v>7</v>
      </c>
    </row>
    <row r="4" spans="1:9" ht="15.5" x14ac:dyDescent="0.35">
      <c r="A4" s="6"/>
      <c r="B4" s="42" t="s">
        <v>3</v>
      </c>
      <c r="C4" s="42"/>
      <c r="D4" s="42"/>
      <c r="E4" s="42"/>
      <c r="F4" s="42"/>
      <c r="G4" s="42"/>
      <c r="H4" s="42"/>
      <c r="I4" s="42"/>
    </row>
    <row r="5" spans="1:9" ht="15.5" x14ac:dyDescent="0.35">
      <c r="A5" s="11" t="s">
        <v>2</v>
      </c>
      <c r="B5" s="12">
        <v>3</v>
      </c>
      <c r="C5" s="12">
        <v>4</v>
      </c>
      <c r="D5" s="12">
        <v>5</v>
      </c>
      <c r="E5" s="12">
        <v>6</v>
      </c>
      <c r="F5" s="12">
        <v>7</v>
      </c>
      <c r="G5" s="12">
        <v>8</v>
      </c>
      <c r="H5" s="12">
        <v>9</v>
      </c>
      <c r="I5" s="12">
        <v>10</v>
      </c>
    </row>
    <row r="6" spans="1:9" ht="15.5" x14ac:dyDescent="0.35">
      <c r="A6" s="3">
        <v>0</v>
      </c>
      <c r="B6" s="3">
        <v>0.05</v>
      </c>
      <c r="C6" s="3">
        <v>0.05</v>
      </c>
      <c r="D6" s="3">
        <v>0.05</v>
      </c>
      <c r="E6" s="3">
        <v>0.05</v>
      </c>
      <c r="F6" s="3">
        <v>0.05</v>
      </c>
      <c r="G6" s="3">
        <v>0.05</v>
      </c>
      <c r="H6" s="13">
        <v>0.05</v>
      </c>
      <c r="I6" s="13">
        <v>0.05</v>
      </c>
    </row>
    <row r="7" spans="1:9" ht="15.5" x14ac:dyDescent="0.35">
      <c r="A7" s="3">
        <v>0.05</v>
      </c>
      <c r="B7" s="3">
        <v>6.0999999999999999E-2</v>
      </c>
      <c r="C7" s="3">
        <v>6.6000000000000003E-2</v>
      </c>
      <c r="D7" s="3">
        <v>7.0000000000000007E-2</v>
      </c>
      <c r="E7" s="3">
        <v>7.4999999999999997E-2</v>
      </c>
      <c r="F7" s="13">
        <v>7.9000000000000001E-2</v>
      </c>
      <c r="G7" s="13">
        <v>8.4000000000000005E-2</v>
      </c>
      <c r="H7" s="13">
        <v>8.7999999999999995E-2</v>
      </c>
      <c r="I7" s="13">
        <v>9.2999999999999999E-2</v>
      </c>
    </row>
    <row r="8" spans="1:9" ht="15.5" x14ac:dyDescent="0.35">
      <c r="A8" s="3">
        <v>0.1</v>
      </c>
      <c r="B8" s="3">
        <v>9.6000000000000002E-2</v>
      </c>
      <c r="C8" s="3">
        <v>0.114</v>
      </c>
      <c r="D8" s="3">
        <v>0.13</v>
      </c>
      <c r="E8" s="3">
        <v>0.152</v>
      </c>
      <c r="F8" s="13">
        <v>0.17100000000000001</v>
      </c>
      <c r="G8" s="13">
        <v>0.19</v>
      </c>
      <c r="H8" s="13">
        <v>0.20899999999999999</v>
      </c>
      <c r="I8" s="13">
        <v>0.22800000000000001</v>
      </c>
    </row>
    <row r="9" spans="1:9" ht="15.5" x14ac:dyDescent="0.35">
      <c r="A9" s="3">
        <v>0.15</v>
      </c>
      <c r="B9" s="3">
        <v>0.156</v>
      </c>
      <c r="C9" s="3">
        <v>0.19800000000000001</v>
      </c>
      <c r="D9" s="3">
        <v>0.24</v>
      </c>
      <c r="E9" s="3">
        <v>0.28299999999999997</v>
      </c>
      <c r="F9" s="13">
        <v>0.32400000000000001</v>
      </c>
      <c r="G9" s="13">
        <v>0.36499999999999999</v>
      </c>
      <c r="H9" s="13">
        <v>0.40500000000000003</v>
      </c>
      <c r="I9" s="13">
        <v>0.443</v>
      </c>
    </row>
    <row r="10" spans="1:9" ht="15.5" x14ac:dyDescent="0.35">
      <c r="A10" s="3">
        <v>0.2</v>
      </c>
      <c r="B10" s="3">
        <v>0.24</v>
      </c>
      <c r="C10" s="3">
        <v>0.314</v>
      </c>
      <c r="D10" s="3">
        <v>0.39</v>
      </c>
      <c r="E10" s="3">
        <v>0.45400000000000001</v>
      </c>
      <c r="F10" s="13">
        <v>0.51800000000000002</v>
      </c>
      <c r="G10" s="13">
        <v>0.57599999999999996</v>
      </c>
      <c r="H10" s="13">
        <v>0.629</v>
      </c>
      <c r="I10" s="13">
        <v>0.67800000000000005</v>
      </c>
    </row>
    <row r="11" spans="1:9" ht="15.5" x14ac:dyDescent="0.35">
      <c r="A11" s="3">
        <v>0.25</v>
      </c>
      <c r="B11" s="3">
        <v>0.34599999999999997</v>
      </c>
      <c r="C11" s="3">
        <v>0.45400000000000001</v>
      </c>
      <c r="D11" s="3">
        <v>0.55000000000000004</v>
      </c>
      <c r="E11" s="3">
        <v>0.63500000000000001</v>
      </c>
      <c r="F11" s="13">
        <v>0.70699999999999996</v>
      </c>
      <c r="G11" s="13">
        <v>0.76700000000000002</v>
      </c>
      <c r="H11" s="13">
        <v>0.81699999999999995</v>
      </c>
      <c r="I11" s="13">
        <v>0.85699999999999998</v>
      </c>
    </row>
    <row r="12" spans="1:9" ht="15.5" x14ac:dyDescent="0.35">
      <c r="A12" s="3">
        <v>0.3</v>
      </c>
      <c r="B12" s="3">
        <v>0.46600000000000003</v>
      </c>
      <c r="C12" s="3">
        <v>0.59899999999999998</v>
      </c>
      <c r="D12" s="3">
        <v>0.71</v>
      </c>
      <c r="E12" s="3">
        <v>0.79</v>
      </c>
      <c r="F12" s="13">
        <v>0.85199999999999998</v>
      </c>
      <c r="G12" s="13">
        <v>0.89700000000000002</v>
      </c>
      <c r="H12" s="13">
        <v>0.93</v>
      </c>
      <c r="I12" s="13">
        <v>0.95299999999999996</v>
      </c>
    </row>
    <row r="13" spans="1:9" ht="15.5" x14ac:dyDescent="0.35">
      <c r="A13" s="3">
        <v>0.35</v>
      </c>
      <c r="B13" s="3">
        <v>0.58899999999999997</v>
      </c>
      <c r="C13" s="3">
        <v>0.73199999999999998</v>
      </c>
      <c r="D13" s="3">
        <v>0.83</v>
      </c>
      <c r="E13" s="3">
        <v>0.89700000000000002</v>
      </c>
      <c r="F13" s="13">
        <v>0.93899999999999995</v>
      </c>
      <c r="G13" s="13">
        <v>0.96399999999999997</v>
      </c>
      <c r="H13" s="13">
        <v>0.98</v>
      </c>
      <c r="I13" s="13">
        <v>0.98899999999999999</v>
      </c>
    </row>
    <row r="14" spans="1:9" ht="15.5" x14ac:dyDescent="0.35">
      <c r="A14" s="3">
        <v>0.4</v>
      </c>
      <c r="B14" s="3">
        <v>0.70399999999999996</v>
      </c>
      <c r="C14" s="3">
        <v>0.83799999999999997</v>
      </c>
      <c r="D14" s="3">
        <v>0.92</v>
      </c>
      <c r="E14" s="3">
        <v>0.95799999999999996</v>
      </c>
      <c r="F14" s="13">
        <v>0.98</v>
      </c>
      <c r="G14" s="13">
        <v>0.99</v>
      </c>
      <c r="H14" s="13">
        <v>0.996</v>
      </c>
      <c r="I14" s="13">
        <v>0.998</v>
      </c>
    </row>
    <row r="15" spans="1:9" ht="15.5" x14ac:dyDescent="0.35">
      <c r="A15" s="3">
        <v>0.45</v>
      </c>
      <c r="B15" s="3">
        <v>0.80100000000000005</v>
      </c>
      <c r="C15" s="3">
        <v>0.91200000000000003</v>
      </c>
      <c r="D15" s="3">
        <v>0.96</v>
      </c>
      <c r="E15" s="3">
        <v>0.98599999999999999</v>
      </c>
      <c r="F15" s="3">
        <v>0.995</v>
      </c>
      <c r="G15" s="3">
        <v>0.998</v>
      </c>
      <c r="H15" s="13">
        <v>0.999</v>
      </c>
      <c r="I15" s="13">
        <v>1</v>
      </c>
    </row>
    <row r="16" spans="1:9" ht="15.5" x14ac:dyDescent="0.35">
      <c r="A16" s="3">
        <v>0.5</v>
      </c>
      <c r="B16" s="3">
        <v>0.876</v>
      </c>
      <c r="C16" s="3">
        <v>0.95699999999999996</v>
      </c>
      <c r="D16" s="3">
        <v>0.99</v>
      </c>
      <c r="E16" s="3">
        <v>0.996</v>
      </c>
      <c r="F16" s="3">
        <v>0.999</v>
      </c>
      <c r="G16" s="3">
        <v>1</v>
      </c>
      <c r="H16" s="13">
        <v>1</v>
      </c>
      <c r="I16" s="13">
        <v>1</v>
      </c>
    </row>
    <row r="17" spans="1:9" ht="15.5" x14ac:dyDescent="0.35">
      <c r="A17" s="3">
        <v>0.55000000000000004</v>
      </c>
      <c r="B17" s="3">
        <v>0.92800000000000005</v>
      </c>
      <c r="C17" s="3">
        <v>0.98099999999999998</v>
      </c>
      <c r="D17" s="3">
        <v>1</v>
      </c>
      <c r="E17" s="3">
        <v>0.999</v>
      </c>
      <c r="F17" s="3">
        <v>1</v>
      </c>
      <c r="G17" s="3">
        <v>1</v>
      </c>
      <c r="H17" s="13">
        <v>1</v>
      </c>
      <c r="I17" s="13">
        <v>1</v>
      </c>
    </row>
    <row r="18" spans="1:9" ht="15.5" x14ac:dyDescent="0.35">
      <c r="A18" s="3">
        <v>0.6</v>
      </c>
      <c r="B18" s="3">
        <v>0.96199999999999997</v>
      </c>
      <c r="C18" s="3">
        <v>0.99299999999999999</v>
      </c>
      <c r="D18" s="3">
        <v>1</v>
      </c>
      <c r="E18" s="3">
        <v>1</v>
      </c>
      <c r="F18" s="3">
        <v>1</v>
      </c>
      <c r="G18" s="3">
        <v>1</v>
      </c>
      <c r="H18" s="13">
        <v>1</v>
      </c>
      <c r="I18" s="13">
        <v>1</v>
      </c>
    </row>
    <row r="19" spans="1:9" ht="15.5" x14ac:dyDescent="0.35">
      <c r="A19" s="3">
        <v>0.65</v>
      </c>
      <c r="B19" s="3">
        <v>0.98099999999999998</v>
      </c>
      <c r="C19" s="3">
        <v>0.998</v>
      </c>
      <c r="D19" s="3">
        <v>1</v>
      </c>
      <c r="E19" s="3">
        <v>1</v>
      </c>
      <c r="F19" s="3">
        <v>1</v>
      </c>
      <c r="G19" s="3">
        <v>1</v>
      </c>
      <c r="H19" s="13">
        <v>1</v>
      </c>
      <c r="I19" s="13">
        <v>1</v>
      </c>
    </row>
    <row r="20" spans="1:9" ht="15.5" x14ac:dyDescent="0.35">
      <c r="A20" s="3">
        <v>0.7</v>
      </c>
      <c r="B20" s="3">
        <v>0.99199999999999999</v>
      </c>
      <c r="C20" s="3">
        <v>0.999</v>
      </c>
      <c r="D20" s="3">
        <v>1</v>
      </c>
      <c r="E20" s="3">
        <v>1</v>
      </c>
      <c r="F20" s="3">
        <v>1</v>
      </c>
      <c r="G20" s="3">
        <v>1</v>
      </c>
      <c r="H20" s="13">
        <v>1</v>
      </c>
      <c r="I20" s="13">
        <v>1</v>
      </c>
    </row>
    <row r="21" spans="1:9" ht="15.5" x14ac:dyDescent="0.35">
      <c r="A21" s="3">
        <v>0.75</v>
      </c>
      <c r="B21" s="3">
        <v>0.996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13">
        <v>1</v>
      </c>
      <c r="I21" s="13">
        <v>1</v>
      </c>
    </row>
    <row r="22" spans="1:9" ht="15.5" x14ac:dyDescent="0.35">
      <c r="A22" s="4">
        <v>0.8</v>
      </c>
      <c r="B22" s="4">
        <v>0.999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15">
        <v>1</v>
      </c>
      <c r="I22" s="15">
        <v>1</v>
      </c>
    </row>
  </sheetData>
  <mergeCells count="1">
    <mergeCell ref="B4:I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A849-9EF6-4873-8C96-1B002D8F120C}">
  <dimension ref="A1:I22"/>
  <sheetViews>
    <sheetView workbookViewId="0">
      <selection activeCell="J23" sqref="J23"/>
    </sheetView>
  </sheetViews>
  <sheetFormatPr defaultRowHeight="14.5" x14ac:dyDescent="0.35"/>
  <sheetData>
    <row r="1" spans="1:9" x14ac:dyDescent="0.35">
      <c r="A1" t="s">
        <v>4</v>
      </c>
    </row>
    <row r="2" spans="1:9" x14ac:dyDescent="0.35">
      <c r="A2" t="s">
        <v>8</v>
      </c>
    </row>
    <row r="4" spans="1:9" ht="15.5" x14ac:dyDescent="0.35">
      <c r="A4" s="6"/>
      <c r="B4" s="42" t="s">
        <v>3</v>
      </c>
      <c r="C4" s="42"/>
      <c r="D4" s="42"/>
      <c r="E4" s="42"/>
      <c r="F4" s="42"/>
      <c r="G4" s="42"/>
      <c r="H4" s="42"/>
      <c r="I4" s="42"/>
    </row>
    <row r="5" spans="1:9" ht="15.5" x14ac:dyDescent="0.35">
      <c r="A5" s="11" t="s">
        <v>2</v>
      </c>
      <c r="B5" s="12">
        <v>3</v>
      </c>
      <c r="C5" s="12">
        <v>4</v>
      </c>
      <c r="D5" s="12">
        <v>5</v>
      </c>
      <c r="E5" s="12">
        <v>6</v>
      </c>
      <c r="F5" s="12">
        <v>7</v>
      </c>
      <c r="G5" s="12">
        <v>8</v>
      </c>
      <c r="H5" s="12">
        <v>9</v>
      </c>
      <c r="I5" s="12">
        <v>10</v>
      </c>
    </row>
    <row r="6" spans="1:9" ht="15.5" x14ac:dyDescent="0.35">
      <c r="A6" s="3">
        <v>0</v>
      </c>
      <c r="B6" s="3">
        <v>0.05</v>
      </c>
      <c r="C6" s="3">
        <v>0.05</v>
      </c>
      <c r="D6" s="3">
        <v>0.05</v>
      </c>
      <c r="E6" s="3">
        <v>0.05</v>
      </c>
      <c r="F6" s="3">
        <v>0.05</v>
      </c>
      <c r="G6" s="3">
        <v>0.05</v>
      </c>
      <c r="H6" s="13">
        <v>0.05</v>
      </c>
      <c r="I6" s="13">
        <v>0.05</v>
      </c>
    </row>
    <row r="7" spans="1:9" ht="15.5" x14ac:dyDescent="0.35">
      <c r="A7" s="3">
        <v>0.05</v>
      </c>
      <c r="B7" s="3">
        <v>6.6000000000000003E-2</v>
      </c>
      <c r="C7" s="3">
        <v>7.1999999999999995E-2</v>
      </c>
      <c r="D7" s="3">
        <v>7.8E-2</v>
      </c>
      <c r="E7" s="3">
        <v>8.4000000000000005E-2</v>
      </c>
      <c r="F7" s="3">
        <v>0.09</v>
      </c>
      <c r="G7" s="3">
        <v>9.6000000000000002E-2</v>
      </c>
      <c r="H7" s="13">
        <v>0.1</v>
      </c>
      <c r="I7" s="13">
        <v>0.11</v>
      </c>
    </row>
    <row r="8" spans="1:9" ht="15.5" x14ac:dyDescent="0.35">
      <c r="A8" s="3">
        <v>0.1</v>
      </c>
      <c r="B8" s="3">
        <v>0.115</v>
      </c>
      <c r="C8" s="3">
        <v>0.14000000000000001</v>
      </c>
      <c r="D8" s="3">
        <v>0.16500000000000001</v>
      </c>
      <c r="E8" s="3">
        <v>0.191</v>
      </c>
      <c r="F8" s="3">
        <v>0.22</v>
      </c>
      <c r="G8" s="3">
        <v>0.24099999999999999</v>
      </c>
      <c r="H8" s="13">
        <v>0.27</v>
      </c>
      <c r="I8" s="13">
        <v>0.28999999999999998</v>
      </c>
    </row>
    <row r="9" spans="1:9" ht="15.5" x14ac:dyDescent="0.35">
      <c r="A9" s="3">
        <v>0.15</v>
      </c>
      <c r="B9" s="3">
        <v>0.2</v>
      </c>
      <c r="C9" s="3">
        <v>0.25700000000000001</v>
      </c>
      <c r="D9" s="3">
        <v>0.313</v>
      </c>
      <c r="E9" s="3">
        <v>0.36699999999999999</v>
      </c>
      <c r="F9" s="3">
        <v>0.42</v>
      </c>
      <c r="G9" s="3">
        <v>0.46899999999999997</v>
      </c>
      <c r="H9" s="13">
        <v>0.52</v>
      </c>
      <c r="I9" s="13">
        <v>0.56000000000000005</v>
      </c>
    </row>
    <row r="10" spans="1:9" ht="15.5" x14ac:dyDescent="0.35">
      <c r="A10" s="3">
        <v>0.2</v>
      </c>
      <c r="B10" s="3">
        <v>0.318</v>
      </c>
      <c r="C10" s="3">
        <v>0.41299999999999998</v>
      </c>
      <c r="D10" s="3">
        <v>0.5</v>
      </c>
      <c r="E10" s="3">
        <v>0.57899999999999996</v>
      </c>
      <c r="F10" s="3">
        <v>0.65</v>
      </c>
      <c r="G10" s="3">
        <v>0.70899999999999996</v>
      </c>
      <c r="H10" s="13">
        <v>0.76</v>
      </c>
      <c r="I10" s="13">
        <v>0.8</v>
      </c>
    </row>
    <row r="11" spans="1:9" ht="15.5" x14ac:dyDescent="0.35">
      <c r="A11" s="3">
        <v>0.25</v>
      </c>
      <c r="B11" s="3">
        <v>0.45900000000000002</v>
      </c>
      <c r="C11" s="3">
        <v>0.58499999999999996</v>
      </c>
      <c r="D11" s="3">
        <v>0.68799999999999994</v>
      </c>
      <c r="E11" s="3">
        <v>0.77</v>
      </c>
      <c r="F11" s="3">
        <v>0.83</v>
      </c>
      <c r="G11" s="3">
        <v>0.88100000000000001</v>
      </c>
      <c r="H11" s="13">
        <v>0.92</v>
      </c>
      <c r="I11" s="13">
        <v>0.94</v>
      </c>
    </row>
    <row r="12" spans="1:9" ht="15.5" x14ac:dyDescent="0.35">
      <c r="A12" s="3">
        <v>0.3</v>
      </c>
      <c r="B12" s="3">
        <v>0.60499999999999998</v>
      </c>
      <c r="C12" s="3">
        <v>0.74099999999999999</v>
      </c>
      <c r="D12" s="3">
        <v>0.83599999999999997</v>
      </c>
      <c r="E12" s="3">
        <v>0.89900000000000002</v>
      </c>
      <c r="F12" s="3">
        <v>0.94</v>
      </c>
      <c r="G12" s="3">
        <v>0.96399999999999997</v>
      </c>
      <c r="H12" s="13">
        <v>0.98</v>
      </c>
      <c r="I12" s="13">
        <v>0.99</v>
      </c>
    </row>
    <row r="13" spans="1:9" ht="15.5" x14ac:dyDescent="0.35">
      <c r="A13" s="3">
        <v>0.35</v>
      </c>
      <c r="B13" s="3">
        <v>0.73799999999999999</v>
      </c>
      <c r="C13" s="3">
        <v>0.86</v>
      </c>
      <c r="D13" s="3">
        <v>0.92900000000000005</v>
      </c>
      <c r="E13" s="3">
        <v>0.96499999999999997</v>
      </c>
      <c r="F13" s="3">
        <v>0.98</v>
      </c>
      <c r="G13" s="3">
        <v>0.99199999999999999</v>
      </c>
      <c r="H13" s="13">
        <v>1</v>
      </c>
      <c r="I13" s="13">
        <v>1</v>
      </c>
    </row>
    <row r="14" spans="1:9" ht="15.5" x14ac:dyDescent="0.35">
      <c r="A14" s="3">
        <v>0.4</v>
      </c>
      <c r="B14" s="3">
        <v>0.84299999999999997</v>
      </c>
      <c r="C14" s="3">
        <v>0.93500000000000005</v>
      </c>
      <c r="D14" s="3">
        <v>0.97499999999999998</v>
      </c>
      <c r="E14" s="3">
        <v>0.99099999999999999</v>
      </c>
      <c r="F14" s="3">
        <v>1</v>
      </c>
      <c r="G14" s="3">
        <v>0.999</v>
      </c>
      <c r="H14" s="13">
        <v>1</v>
      </c>
      <c r="I14" s="13">
        <v>1</v>
      </c>
    </row>
    <row r="15" spans="1:9" ht="15.5" x14ac:dyDescent="0.35">
      <c r="A15" s="3">
        <v>0.45</v>
      </c>
      <c r="B15" s="3">
        <v>0.91600000000000004</v>
      </c>
      <c r="C15" s="3">
        <v>0.97399999999999998</v>
      </c>
      <c r="D15" s="3">
        <v>0.99299999999999999</v>
      </c>
      <c r="E15" s="3">
        <v>0.998</v>
      </c>
      <c r="F15" s="3">
        <v>1</v>
      </c>
      <c r="G15" s="3">
        <v>1</v>
      </c>
      <c r="H15" s="3">
        <v>1</v>
      </c>
      <c r="I15" s="13">
        <v>1</v>
      </c>
    </row>
    <row r="16" spans="1:9" ht="15.5" x14ac:dyDescent="0.35">
      <c r="A16" s="3">
        <v>0.5</v>
      </c>
      <c r="B16" s="3">
        <v>0.96</v>
      </c>
      <c r="C16" s="3">
        <v>0.99099999999999999</v>
      </c>
      <c r="D16" s="3">
        <v>0.998</v>
      </c>
      <c r="E16" s="3">
        <v>1</v>
      </c>
      <c r="F16" s="3">
        <v>1</v>
      </c>
      <c r="G16" s="3">
        <v>1</v>
      </c>
      <c r="H16" s="3">
        <v>1</v>
      </c>
      <c r="I16" s="13">
        <v>1</v>
      </c>
    </row>
    <row r="17" spans="1:9" ht="15.5" x14ac:dyDescent="0.35">
      <c r="A17" s="3">
        <v>0.55000000000000004</v>
      </c>
      <c r="B17" s="3">
        <v>0.98299999999999998</v>
      </c>
      <c r="C17" s="3">
        <v>0.998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13">
        <v>1</v>
      </c>
    </row>
    <row r="18" spans="1:9" ht="15.5" x14ac:dyDescent="0.35">
      <c r="A18" s="3">
        <v>0.6</v>
      </c>
      <c r="B18" s="3">
        <v>0.99299999999999999</v>
      </c>
      <c r="C18" s="3">
        <v>0.999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13">
        <v>1</v>
      </c>
    </row>
    <row r="19" spans="1:9" ht="15.5" x14ac:dyDescent="0.35">
      <c r="A19" s="3">
        <v>0.65</v>
      </c>
      <c r="B19" s="3">
        <v>0.998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13">
        <v>1</v>
      </c>
    </row>
    <row r="20" spans="1:9" ht="15.5" x14ac:dyDescent="0.35">
      <c r="A20" s="3">
        <v>0.7</v>
      </c>
      <c r="B20" s="3">
        <v>0.999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13">
        <v>1</v>
      </c>
    </row>
    <row r="21" spans="1:9" ht="15.5" x14ac:dyDescent="0.35">
      <c r="A21" s="3">
        <v>0.75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13">
        <v>1</v>
      </c>
    </row>
    <row r="22" spans="1:9" ht="15.5" x14ac:dyDescent="0.35">
      <c r="A22" s="4">
        <v>0.8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13">
        <v>1</v>
      </c>
    </row>
  </sheetData>
  <mergeCells count="1">
    <mergeCell ref="B4:I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918B-376F-4CAA-B7C6-23BBEB0F00AF}">
  <dimension ref="A3:M15"/>
  <sheetViews>
    <sheetView workbookViewId="0">
      <selection activeCell="H6" sqref="H6"/>
    </sheetView>
  </sheetViews>
  <sheetFormatPr defaultRowHeight="14.5" x14ac:dyDescent="0.35"/>
  <cols>
    <col min="4" max="4" width="14.54296875" customWidth="1"/>
  </cols>
  <sheetData>
    <row r="3" spans="1:13" ht="14.5" customHeight="1" x14ac:dyDescent="0.35">
      <c r="C3" s="44" t="s">
        <v>12</v>
      </c>
      <c r="D3" s="44"/>
      <c r="G3" t="s">
        <v>13</v>
      </c>
      <c r="K3" t="s">
        <v>13</v>
      </c>
    </row>
    <row r="4" spans="1:13" ht="16.5" x14ac:dyDescent="0.45">
      <c r="A4">
        <f>0.71^2</f>
        <v>0.50409999999999999</v>
      </c>
      <c r="C4" s="18" t="s">
        <v>0</v>
      </c>
      <c r="D4" s="18" t="s">
        <v>1</v>
      </c>
      <c r="G4" s="21" t="s">
        <v>11</v>
      </c>
      <c r="H4" s="21" t="s">
        <v>1</v>
      </c>
      <c r="I4" s="21" t="s">
        <v>16</v>
      </c>
      <c r="J4" s="22"/>
      <c r="K4" s="21" t="s">
        <v>11</v>
      </c>
      <c r="L4" s="21" t="s">
        <v>1</v>
      </c>
      <c r="M4" s="21" t="s">
        <v>16</v>
      </c>
    </row>
    <row r="5" spans="1:13" x14ac:dyDescent="0.35">
      <c r="A5">
        <f>1/81</f>
        <v>1.2345679012345678E-2</v>
      </c>
      <c r="C5">
        <v>5</v>
      </c>
      <c r="D5" s="1">
        <f t="shared" ref="D5:D13" si="0">0.5/(0.5+C5)</f>
        <v>9.0909090909090912E-2</v>
      </c>
      <c r="G5">
        <v>2</v>
      </c>
      <c r="H5">
        <v>0.05</v>
      </c>
      <c r="I5" s="2">
        <f>SQRT((G5*(1-H5))/H5)</f>
        <v>6.164414002968976</v>
      </c>
      <c r="K5">
        <v>5</v>
      </c>
      <c r="L5">
        <v>0.02</v>
      </c>
      <c r="M5" s="2">
        <f>SQRT((K5*(1-L5))/L5)</f>
        <v>15.652475842498529</v>
      </c>
    </row>
    <row r="6" spans="1:13" x14ac:dyDescent="0.35">
      <c r="C6">
        <v>6</v>
      </c>
      <c r="D6" s="1">
        <f t="shared" si="0"/>
        <v>7.6923076923076927E-2</v>
      </c>
      <c r="G6">
        <v>6</v>
      </c>
      <c r="H6">
        <v>0.05</v>
      </c>
      <c r="I6" s="2">
        <f t="shared" ref="I6:I12" si="1">SQRT((G6*(1-H6))/H6)</f>
        <v>10.677078252031311</v>
      </c>
      <c r="K6">
        <v>6</v>
      </c>
      <c r="L6">
        <v>0.02</v>
      </c>
      <c r="M6" s="2">
        <f t="shared" ref="M6:M15" si="2">SQRT((K6*(1-L6))/L6)</f>
        <v>17.146428199482248</v>
      </c>
    </row>
    <row r="7" spans="1:13" x14ac:dyDescent="0.35">
      <c r="C7">
        <v>7</v>
      </c>
      <c r="D7" s="1">
        <f t="shared" si="0"/>
        <v>6.6666666666666666E-2</v>
      </c>
      <c r="G7">
        <v>7</v>
      </c>
      <c r="H7">
        <v>0.05</v>
      </c>
      <c r="I7" s="2">
        <f t="shared" si="1"/>
        <v>11.532562594670795</v>
      </c>
      <c r="K7">
        <v>7</v>
      </c>
      <c r="L7">
        <v>0.02</v>
      </c>
      <c r="M7" s="2">
        <f t="shared" si="2"/>
        <v>18.520259177452132</v>
      </c>
    </row>
    <row r="8" spans="1:13" x14ac:dyDescent="0.35">
      <c r="C8">
        <v>8</v>
      </c>
      <c r="D8" s="1">
        <f t="shared" si="0"/>
        <v>5.8823529411764705E-2</v>
      </c>
      <c r="G8">
        <v>8</v>
      </c>
      <c r="H8">
        <v>0.05</v>
      </c>
      <c r="I8" s="2">
        <f t="shared" si="1"/>
        <v>12.328828005937952</v>
      </c>
      <c r="K8">
        <v>8</v>
      </c>
      <c r="L8">
        <v>0.02</v>
      </c>
      <c r="M8" s="2">
        <f t="shared" si="2"/>
        <v>19.798989873223331</v>
      </c>
    </row>
    <row r="9" spans="1:13" x14ac:dyDescent="0.35">
      <c r="C9">
        <v>9</v>
      </c>
      <c r="D9" s="1">
        <f t="shared" si="0"/>
        <v>5.2631578947368418E-2</v>
      </c>
      <c r="G9">
        <v>9</v>
      </c>
      <c r="H9">
        <v>0.05</v>
      </c>
      <c r="I9" s="2">
        <f t="shared" si="1"/>
        <v>13.076696830622019</v>
      </c>
      <c r="K9">
        <v>9</v>
      </c>
      <c r="L9">
        <v>0.02</v>
      </c>
      <c r="M9" s="2">
        <f t="shared" si="2"/>
        <v>21</v>
      </c>
    </row>
    <row r="10" spans="1:13" x14ac:dyDescent="0.35">
      <c r="C10">
        <v>10</v>
      </c>
      <c r="D10" s="1">
        <f t="shared" si="0"/>
        <v>4.7619047619047616E-2</v>
      </c>
      <c r="G10">
        <v>10</v>
      </c>
      <c r="H10">
        <v>0.05</v>
      </c>
      <c r="I10" s="2">
        <f t="shared" si="1"/>
        <v>13.784048752090222</v>
      </c>
      <c r="K10">
        <v>10</v>
      </c>
      <c r="L10">
        <v>0.02</v>
      </c>
      <c r="M10" s="2">
        <f t="shared" si="2"/>
        <v>22.135943621178654</v>
      </c>
    </row>
    <row r="11" spans="1:13" x14ac:dyDescent="0.35">
      <c r="C11">
        <v>15</v>
      </c>
      <c r="D11" s="1">
        <f t="shared" si="0"/>
        <v>3.2258064516129031E-2</v>
      </c>
      <c r="G11">
        <v>15</v>
      </c>
      <c r="H11">
        <v>0.05</v>
      </c>
      <c r="I11" s="2">
        <f t="shared" si="1"/>
        <v>16.881943016134134</v>
      </c>
      <c r="K11">
        <v>15</v>
      </c>
      <c r="L11">
        <v>0.02</v>
      </c>
      <c r="M11" s="2">
        <f t="shared" si="2"/>
        <v>27.110883423451916</v>
      </c>
    </row>
    <row r="12" spans="1:13" x14ac:dyDescent="0.35">
      <c r="C12">
        <v>20</v>
      </c>
      <c r="D12" s="1">
        <f t="shared" si="0"/>
        <v>2.4390243902439025E-2</v>
      </c>
      <c r="G12">
        <v>20</v>
      </c>
      <c r="H12">
        <v>0.05</v>
      </c>
      <c r="I12" s="2">
        <f t="shared" si="1"/>
        <v>19.493588689617926</v>
      </c>
      <c r="K12">
        <v>20</v>
      </c>
      <c r="L12">
        <v>0.02</v>
      </c>
      <c r="M12" s="2">
        <f t="shared" si="2"/>
        <v>31.304951684997057</v>
      </c>
    </row>
    <row r="13" spans="1:13" x14ac:dyDescent="0.35">
      <c r="C13">
        <v>25</v>
      </c>
      <c r="D13" s="1">
        <f t="shared" si="0"/>
        <v>1.9607843137254902E-2</v>
      </c>
      <c r="G13">
        <v>25</v>
      </c>
      <c r="H13">
        <v>0.05</v>
      </c>
      <c r="I13" s="2">
        <f>SQRT((G13*(1-H13))/H13)</f>
        <v>21.794494717703369</v>
      </c>
      <c r="K13">
        <v>25</v>
      </c>
      <c r="L13">
        <v>0.02</v>
      </c>
      <c r="M13" s="2">
        <f t="shared" si="2"/>
        <v>35</v>
      </c>
    </row>
    <row r="14" spans="1:13" x14ac:dyDescent="0.35">
      <c r="G14">
        <v>30</v>
      </c>
      <c r="H14">
        <v>0.05</v>
      </c>
      <c r="I14" s="2">
        <f>SQRT((G14*(1-H14))/H14)</f>
        <v>23.874672772626646</v>
      </c>
      <c r="K14">
        <v>30</v>
      </c>
      <c r="L14">
        <v>0.02</v>
      </c>
      <c r="M14" s="2">
        <f t="shared" si="2"/>
        <v>38.340579025361627</v>
      </c>
    </row>
    <row r="15" spans="1:13" x14ac:dyDescent="0.35">
      <c r="G15" s="5">
        <v>50</v>
      </c>
      <c r="H15" s="5">
        <v>0.05</v>
      </c>
      <c r="I15" s="14">
        <f>SQRT((G15*(1-H15))/H15)</f>
        <v>30.822070014844883</v>
      </c>
      <c r="K15" s="5">
        <v>50</v>
      </c>
      <c r="L15" s="5">
        <v>0.02</v>
      </c>
      <c r="M15" s="14">
        <f t="shared" si="2"/>
        <v>49.497474683058329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A1</vt:lpstr>
      <vt:lpstr>Table A2</vt:lpstr>
      <vt:lpstr>Table A3</vt:lpstr>
      <vt:lpstr>Table A4</vt:lpstr>
      <vt:lpstr>Table A5</vt:lpstr>
      <vt:lpstr>Table A6</vt:lpstr>
      <vt:lpstr>Table 1b</vt:lpstr>
      <vt:lpstr>Table 1c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Larry</cp:lastModifiedBy>
  <cp:lastPrinted>2020-11-03T21:07:09Z</cp:lastPrinted>
  <dcterms:created xsi:type="dcterms:W3CDTF">2020-11-03T17:43:03Z</dcterms:created>
  <dcterms:modified xsi:type="dcterms:W3CDTF">2020-11-15T22:13:50Z</dcterms:modified>
</cp:coreProperties>
</file>