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rry\Documents\Articles in Process\NSF Designs\Small RCTs\"/>
    </mc:Choice>
  </mc:AlternateContent>
  <xr:revisionPtr revIDLastSave="0" documentId="13_ncr:1_{0C45DD78-A4CF-4132-8280-E32218D939D7}" xr6:coauthVersionLast="45" xr6:coauthVersionMax="45" xr10:uidLastSave="{00000000-0000-0000-0000-000000000000}"/>
  <bookViews>
    <workbookView xWindow="21000" yWindow="2750" windowWidth="16230" windowHeight="12390" tabRatio="773" activeTab="8" xr2:uid="{E803B64D-0B60-4669-905B-B7C88F5EDA59}"/>
  </bookViews>
  <sheets>
    <sheet name="Table 1" sheetId="3" r:id="rId1"/>
    <sheet name="Table 2" sheetId="5" r:id="rId2"/>
    <sheet name="Table 3" sheetId="6" r:id="rId3"/>
    <sheet name="Table 4" sheetId="8" r:id="rId4"/>
    <sheet name="Table A1" sheetId="12" r:id="rId5"/>
    <sheet name="Table A2" sheetId="7" r:id="rId6"/>
    <sheet name="Table A3" sheetId="11" r:id="rId7"/>
    <sheet name="Table A4" sheetId="10" r:id="rId8"/>
    <sheet name="Table A5" sheetId="9" r:id="rId9"/>
    <sheet name="Sheet4" sheetId="4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5" l="1"/>
  <c r="D27" i="5"/>
  <c r="D26" i="5"/>
  <c r="D25" i="5"/>
  <c r="D24" i="5"/>
  <c r="F18" i="4"/>
  <c r="F17" i="4"/>
  <c r="F16" i="4"/>
  <c r="F15" i="4"/>
  <c r="F14" i="4"/>
  <c r="F13" i="4"/>
  <c r="F12" i="4"/>
  <c r="F11" i="4"/>
  <c r="F10" i="4"/>
  <c r="F9" i="4"/>
  <c r="F8" i="4"/>
  <c r="F7" i="4"/>
</calcChain>
</file>

<file path=xl/sharedStrings.xml><?xml version="1.0" encoding="utf-8"?>
<sst xmlns="http://schemas.openxmlformats.org/spreadsheetml/2006/main" count="87" uniqueCount="42">
  <si>
    <t>Table 1</t>
  </si>
  <si>
    <t>m</t>
  </si>
  <si>
    <t>d</t>
  </si>
  <si>
    <t>n</t>
  </si>
  <si>
    <t>Table 2</t>
  </si>
  <si>
    <t>N</t>
  </si>
  <si>
    <t>Power</t>
  </si>
  <si>
    <t>MDES</t>
  </si>
  <si>
    <t>SE</t>
  </si>
  <si>
    <t>r</t>
  </si>
  <si>
    <t>l</t>
  </si>
  <si>
    <t>--</t>
  </si>
  <si>
    <t>Asymptotic MDES for various values of m and r</t>
  </si>
  <si>
    <t>Intraclass correlation r</t>
  </si>
  <si>
    <t>Table 3</t>
  </si>
  <si>
    <t>MDES as a function of m and n when r = 0.05</t>
  </si>
  <si>
    <t>Table 4</t>
  </si>
  <si>
    <t>∞</t>
  </si>
  <si>
    <t>MDES as a function of m and n when r = 0.02</t>
  </si>
  <si>
    <t>Appendix Table 2</t>
  </si>
  <si>
    <t>mT</t>
  </si>
  <si>
    <t>mT+0</t>
  </si>
  <si>
    <t>mT+1</t>
  </si>
  <si>
    <t>mT+2</t>
  </si>
  <si>
    <t>mT+3</t>
  </si>
  <si>
    <t>mT+4</t>
  </si>
  <si>
    <t>mT+5</t>
  </si>
  <si>
    <t>mT+10</t>
  </si>
  <si>
    <t>mT+15</t>
  </si>
  <si>
    <t>mT+20</t>
  </si>
  <si>
    <t>mT+25</t>
  </si>
  <si>
    <t>mC</t>
  </si>
  <si>
    <t>MDES when n = 50, r = 0.05 for ubbalanced designs with various values of mT and mC</t>
  </si>
  <si>
    <t>MDES when n = 100, r = 0.05 for ubbalanced designs with various values of mT and mC</t>
  </si>
  <si>
    <t>Table A3</t>
  </si>
  <si>
    <t>MDES when n = 75, r = 0.05 for ubbalanced designs with various values of mT and mC</t>
  </si>
  <si>
    <t>Appendix Table A3</t>
  </si>
  <si>
    <t>MDES as a function of m and n when r = 0.075</t>
  </si>
  <si>
    <t>Table A5</t>
  </si>
  <si>
    <t>Table A1</t>
  </si>
  <si>
    <t>Design sensitivity as a function of m, n, and d, when r = 0.10</t>
  </si>
  <si>
    <t>Design sensitivity as a function of m, n, and d, when r = 0..05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</si>
</sst>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164" fontId="1" fillId="0" borderId="0" xfId="0" applyNumberFormat="1" applyFont="1"/>
    <xf numFmtId="2" fontId="1" fillId="0" borderId="0" xfId="0" applyNumberFormat="1" applyFont="1"/>
    <xf numFmtId="2" fontId="1" fillId="0" borderId="3" xfId="0" applyNumberFormat="1" applyFont="1" applyBorder="1"/>
    <xf numFmtId="0" fontId="3" fillId="0" borderId="0" xfId="0" applyFont="1"/>
    <xf numFmtId="164" fontId="0" fillId="0" borderId="0" xfId="0" applyNumberFormat="1"/>
    <xf numFmtId="0" fontId="3" fillId="0" borderId="3" xfId="0" applyFont="1" applyBorder="1"/>
    <xf numFmtId="2" fontId="3" fillId="0" borderId="3" xfId="0" applyNumberFormat="1" applyFont="1" applyBorder="1"/>
    <xf numFmtId="164" fontId="3" fillId="0" borderId="3" xfId="0" applyNumberFormat="1" applyFont="1" applyBorder="1"/>
    <xf numFmtId="164" fontId="3" fillId="0" borderId="0" xfId="0" applyNumberFormat="1" applyFont="1"/>
    <xf numFmtId="2" fontId="3" fillId="0" borderId="0" xfId="0" applyNumberFormat="1" applyFont="1"/>
    <xf numFmtId="164" fontId="1" fillId="0" borderId="3" xfId="0" applyNumberFormat="1" applyFont="1" applyBorder="1"/>
    <xf numFmtId="0" fontId="2" fillId="0" borderId="1" xfId="0" applyFont="1" applyBorder="1"/>
    <xf numFmtId="0" fontId="0" fillId="0" borderId="0" xfId="0" quotePrefix="1"/>
    <xf numFmtId="0" fontId="1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65" fontId="1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89A87-E151-4029-B17E-7052E4C96A5F}">
  <dimension ref="A1:G24"/>
  <sheetViews>
    <sheetView workbookViewId="0">
      <selection activeCell="B26" sqref="B26"/>
    </sheetView>
  </sheetViews>
  <sheetFormatPr defaultRowHeight="14.5" x14ac:dyDescent="0.35"/>
  <sheetData>
    <row r="1" spans="1:7" x14ac:dyDescent="0.35">
      <c r="A1" t="s">
        <v>0</v>
      </c>
    </row>
    <row r="2" spans="1:7" x14ac:dyDescent="0.35">
      <c r="A2" t="s">
        <v>41</v>
      </c>
    </row>
    <row r="4" spans="1:7" s="1" customFormat="1" ht="15.5" x14ac:dyDescent="0.35">
      <c r="A4" s="16" t="s">
        <v>1</v>
      </c>
      <c r="B4" s="16" t="s">
        <v>3</v>
      </c>
      <c r="C4" s="16" t="s">
        <v>5</v>
      </c>
      <c r="D4" s="16" t="s">
        <v>2</v>
      </c>
      <c r="E4" s="16" t="s">
        <v>6</v>
      </c>
      <c r="F4" s="16" t="s">
        <v>7</v>
      </c>
      <c r="G4" s="16" t="s">
        <v>8</v>
      </c>
    </row>
    <row r="5" spans="1:7" ht="15.5" x14ac:dyDescent="0.35">
      <c r="A5" s="1">
        <v>2</v>
      </c>
      <c r="B5" s="1">
        <v>100</v>
      </c>
      <c r="C5" s="1">
        <v>400</v>
      </c>
      <c r="D5" s="1">
        <v>0.2</v>
      </c>
      <c r="E5" s="5">
        <v>8.0600000000000005E-2</v>
      </c>
      <c r="F5" s="6">
        <v>1.38</v>
      </c>
      <c r="G5" s="5">
        <v>4.1000000000000002E-2</v>
      </c>
    </row>
    <row r="6" spans="1:7" ht="15.5" x14ac:dyDescent="0.35">
      <c r="A6" s="1">
        <v>4</v>
      </c>
      <c r="B6" s="1">
        <v>50</v>
      </c>
      <c r="C6" s="1">
        <v>400</v>
      </c>
      <c r="D6" s="1">
        <v>0.2</v>
      </c>
      <c r="E6" s="5">
        <v>0.14949999999999999</v>
      </c>
      <c r="F6" s="6">
        <v>0.626</v>
      </c>
      <c r="G6" s="5">
        <v>5.3800000000000001E-2</v>
      </c>
    </row>
    <row r="7" spans="1:7" ht="15.5" x14ac:dyDescent="0.35">
      <c r="A7" s="1">
        <v>5</v>
      </c>
      <c r="B7" s="1">
        <v>40</v>
      </c>
      <c r="C7" s="1">
        <v>400</v>
      </c>
      <c r="D7" s="1">
        <v>0.2</v>
      </c>
      <c r="E7" s="5">
        <v>0.17730000000000001</v>
      </c>
      <c r="F7" s="6">
        <v>0.55000000000000004</v>
      </c>
      <c r="G7" s="5">
        <v>5.8200000000000002E-2</v>
      </c>
    </row>
    <row r="8" spans="1:7" ht="15.5" x14ac:dyDescent="0.35">
      <c r="A8" s="1">
        <v>8</v>
      </c>
      <c r="B8" s="1">
        <v>25</v>
      </c>
      <c r="C8" s="1">
        <v>400</v>
      </c>
      <c r="D8" s="1">
        <v>0.2</v>
      </c>
      <c r="E8" s="5">
        <v>0.2417</v>
      </c>
      <c r="F8" s="6">
        <v>0.44700000000000001</v>
      </c>
      <c r="G8" s="5">
        <v>6.7400000000000002E-2</v>
      </c>
    </row>
    <row r="9" spans="1:7" ht="15.5" x14ac:dyDescent="0.35">
      <c r="A9" s="1">
        <v>10</v>
      </c>
      <c r="B9" s="1">
        <v>20</v>
      </c>
      <c r="C9" s="1">
        <v>400</v>
      </c>
      <c r="D9" s="1">
        <v>0.2</v>
      </c>
      <c r="E9" s="5">
        <v>0.27350000000000002</v>
      </c>
      <c r="F9" s="6">
        <v>0.41399999999999998</v>
      </c>
      <c r="G9" s="5">
        <v>7.1599999999999997E-2</v>
      </c>
    </row>
    <row r="10" spans="1:7" ht="15.5" x14ac:dyDescent="0.35">
      <c r="A10" s="1">
        <v>20</v>
      </c>
      <c r="B10" s="1">
        <v>10</v>
      </c>
      <c r="C10" s="1">
        <v>400</v>
      </c>
      <c r="D10" s="1">
        <v>0.2</v>
      </c>
      <c r="E10" s="5">
        <v>0.36670000000000003</v>
      </c>
      <c r="F10" s="6">
        <v>0.34699999999999998</v>
      </c>
      <c r="G10" s="5">
        <v>8.3000000000000004E-2</v>
      </c>
    </row>
    <row r="11" spans="1:7" ht="15.5" x14ac:dyDescent="0.35">
      <c r="A11" s="1"/>
      <c r="B11" s="1"/>
      <c r="C11" s="1"/>
      <c r="D11" s="1"/>
      <c r="E11" s="5"/>
      <c r="F11" s="6"/>
      <c r="G11" s="5"/>
    </row>
    <row r="12" spans="1:7" ht="15.5" x14ac:dyDescent="0.35">
      <c r="A12" s="1">
        <v>2</v>
      </c>
      <c r="B12" s="1">
        <v>100</v>
      </c>
      <c r="C12" s="1">
        <v>400</v>
      </c>
      <c r="D12" s="1">
        <v>0.35</v>
      </c>
      <c r="E12" s="5">
        <v>0.14099999999999999</v>
      </c>
      <c r="F12" s="6">
        <v>1.38</v>
      </c>
      <c r="G12" s="5">
        <v>4.1000000000000002E-2</v>
      </c>
    </row>
    <row r="13" spans="1:7" ht="15.5" x14ac:dyDescent="0.35">
      <c r="A13" s="1">
        <v>4</v>
      </c>
      <c r="B13" s="1">
        <v>50</v>
      </c>
      <c r="C13" s="1">
        <v>400</v>
      </c>
      <c r="D13" s="1">
        <v>0.35</v>
      </c>
      <c r="E13" s="5">
        <v>0.35499999999999998</v>
      </c>
      <c r="F13" s="6">
        <v>0.626</v>
      </c>
      <c r="G13" s="5">
        <v>5.3800000000000001E-2</v>
      </c>
    </row>
    <row r="14" spans="1:7" ht="15.5" x14ac:dyDescent="0.35">
      <c r="A14" s="1">
        <v>5</v>
      </c>
      <c r="B14" s="1">
        <v>40</v>
      </c>
      <c r="C14" s="1">
        <v>400</v>
      </c>
      <c r="D14" s="1">
        <v>0.35</v>
      </c>
      <c r="E14" s="5">
        <v>0.434</v>
      </c>
      <c r="F14" s="6">
        <v>0.55000000000000004</v>
      </c>
      <c r="G14" s="5">
        <v>5.8200000000000002E-2</v>
      </c>
    </row>
    <row r="15" spans="1:7" ht="15.5" x14ac:dyDescent="0.35">
      <c r="A15" s="1">
        <v>8</v>
      </c>
      <c r="B15" s="1">
        <v>25</v>
      </c>
      <c r="C15" s="1">
        <v>400</v>
      </c>
      <c r="D15" s="1">
        <v>0.35</v>
      </c>
      <c r="E15" s="5">
        <v>0.59299999999999997</v>
      </c>
      <c r="F15" s="6">
        <v>0.44700000000000001</v>
      </c>
      <c r="G15" s="5">
        <v>6.7400000000000002E-2</v>
      </c>
    </row>
    <row r="16" spans="1:7" ht="15.5" x14ac:dyDescent="0.35">
      <c r="A16" s="1">
        <v>10</v>
      </c>
      <c r="B16" s="1">
        <v>20</v>
      </c>
      <c r="C16" s="1">
        <v>400</v>
      </c>
      <c r="D16" s="1">
        <v>0.35</v>
      </c>
      <c r="E16" s="5">
        <v>0.66</v>
      </c>
      <c r="F16" s="6">
        <v>0.41399999999999998</v>
      </c>
      <c r="G16" s="5">
        <v>7.1599999999999997E-2</v>
      </c>
    </row>
    <row r="17" spans="1:7" ht="15.5" x14ac:dyDescent="0.35">
      <c r="A17" s="1">
        <v>20</v>
      </c>
      <c r="B17" s="1">
        <v>10</v>
      </c>
      <c r="C17" s="1">
        <v>400</v>
      </c>
      <c r="D17" s="1">
        <v>0.35</v>
      </c>
      <c r="E17" s="5">
        <v>0.80900000000000005</v>
      </c>
      <c r="F17" s="6">
        <v>0.34699999999999998</v>
      </c>
      <c r="G17" s="5">
        <v>8.3000000000000004E-2</v>
      </c>
    </row>
    <row r="18" spans="1:7" ht="15.5" x14ac:dyDescent="0.35">
      <c r="A18" s="1"/>
      <c r="B18" s="1"/>
      <c r="C18" s="1"/>
      <c r="D18" s="1"/>
      <c r="E18" s="1"/>
      <c r="F18" s="1"/>
      <c r="G18" s="1"/>
    </row>
    <row r="19" spans="1:7" ht="15.5" x14ac:dyDescent="0.35">
      <c r="A19" s="1">
        <v>2</v>
      </c>
      <c r="B19" s="1">
        <v>100</v>
      </c>
      <c r="C19" s="1">
        <v>400</v>
      </c>
      <c r="D19" s="1">
        <v>0.5</v>
      </c>
      <c r="E19" s="6">
        <v>0.22600000000000001</v>
      </c>
      <c r="F19" s="6">
        <v>1.38</v>
      </c>
      <c r="G19" s="5">
        <v>4.1000000000000002E-2</v>
      </c>
    </row>
    <row r="20" spans="1:7" ht="15.5" x14ac:dyDescent="0.35">
      <c r="A20" s="1">
        <v>4</v>
      </c>
      <c r="B20" s="1">
        <v>50</v>
      </c>
      <c r="C20" s="1">
        <v>400</v>
      </c>
      <c r="D20" s="1">
        <v>0.5</v>
      </c>
      <c r="E20" s="6">
        <v>0.61499999999999999</v>
      </c>
      <c r="F20" s="6">
        <v>0.626</v>
      </c>
      <c r="G20" s="5">
        <v>5.3800000000000001E-2</v>
      </c>
    </row>
    <row r="21" spans="1:7" ht="15.5" x14ac:dyDescent="0.35">
      <c r="A21" s="1">
        <v>5</v>
      </c>
      <c r="B21" s="1">
        <v>40</v>
      </c>
      <c r="C21" s="1">
        <v>400</v>
      </c>
      <c r="D21" s="1">
        <v>0.5</v>
      </c>
      <c r="E21" s="6">
        <v>0.72299999999999998</v>
      </c>
      <c r="F21" s="6">
        <v>0.55000000000000004</v>
      </c>
      <c r="G21" s="5">
        <v>5.8200000000000002E-2</v>
      </c>
    </row>
    <row r="22" spans="1:7" ht="15.5" x14ac:dyDescent="0.35">
      <c r="A22" s="1">
        <v>8</v>
      </c>
      <c r="B22" s="1">
        <v>25</v>
      </c>
      <c r="C22" s="1">
        <v>400</v>
      </c>
      <c r="D22" s="1">
        <v>0.5</v>
      </c>
      <c r="E22" s="6">
        <v>0.879</v>
      </c>
      <c r="F22" s="6">
        <v>0.44700000000000001</v>
      </c>
      <c r="G22" s="5">
        <v>6.7400000000000002E-2</v>
      </c>
    </row>
    <row r="23" spans="1:7" ht="15.5" x14ac:dyDescent="0.35">
      <c r="A23" s="1">
        <v>10</v>
      </c>
      <c r="B23" s="1">
        <v>20</v>
      </c>
      <c r="C23" s="1">
        <v>400</v>
      </c>
      <c r="D23" s="1">
        <v>0.5</v>
      </c>
      <c r="E23" s="6">
        <v>0.92300000000000004</v>
      </c>
      <c r="F23" s="6">
        <v>0.41399999999999998</v>
      </c>
      <c r="G23" s="5">
        <v>7.1599999999999997E-2</v>
      </c>
    </row>
    <row r="24" spans="1:7" ht="15.5" x14ac:dyDescent="0.35">
      <c r="A24" s="3">
        <v>20</v>
      </c>
      <c r="B24" s="3">
        <v>10</v>
      </c>
      <c r="C24" s="3">
        <v>400</v>
      </c>
      <c r="D24" s="3">
        <v>0.5</v>
      </c>
      <c r="E24" s="7">
        <v>0.98099999999999998</v>
      </c>
      <c r="F24" s="7">
        <v>0.34699999999999998</v>
      </c>
      <c r="G24" s="15">
        <v>8.3000000000000004E-2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97A31-F2BD-4050-BA6D-45598C561E33}">
  <dimension ref="A1:L28"/>
  <sheetViews>
    <sheetView workbookViewId="0">
      <selection activeCell="F23" sqref="F23"/>
    </sheetView>
  </sheetViews>
  <sheetFormatPr defaultRowHeight="14.5" x14ac:dyDescent="0.35"/>
  <sheetData>
    <row r="1" spans="1:12" x14ac:dyDescent="0.35">
      <c r="A1" t="s">
        <v>4</v>
      </c>
    </row>
    <row r="2" spans="1:12" x14ac:dyDescent="0.35">
      <c r="A2" t="s">
        <v>12</v>
      </c>
    </row>
    <row r="4" spans="1:12" ht="15.5" x14ac:dyDescent="0.35">
      <c r="A4" s="2"/>
      <c r="B4" s="18" t="s">
        <v>13</v>
      </c>
      <c r="C4" s="18"/>
      <c r="D4" s="18"/>
      <c r="E4" s="18"/>
      <c r="F4" s="18"/>
      <c r="G4" s="18"/>
      <c r="H4" s="18"/>
      <c r="I4" s="18"/>
      <c r="J4" s="18"/>
      <c r="K4" s="18"/>
      <c r="L4" s="18"/>
    </row>
    <row r="5" spans="1:12" ht="15.5" x14ac:dyDescent="0.35">
      <c r="A5" s="3" t="s">
        <v>1</v>
      </c>
      <c r="B5" s="3">
        <v>0.01</v>
      </c>
      <c r="C5" s="3">
        <v>0.02</v>
      </c>
      <c r="D5" s="3">
        <v>0.03</v>
      </c>
      <c r="E5" s="3">
        <v>0.04</v>
      </c>
      <c r="F5" s="3">
        <v>0.05</v>
      </c>
      <c r="G5" s="3">
        <v>0.06</v>
      </c>
      <c r="H5" s="3">
        <v>7.0000000000000007E-2</v>
      </c>
      <c r="I5" s="3">
        <v>0.08</v>
      </c>
      <c r="J5" s="3">
        <v>0.09</v>
      </c>
      <c r="K5" s="7">
        <v>0.1</v>
      </c>
      <c r="L5" s="20">
        <v>1</v>
      </c>
    </row>
    <row r="6" spans="1:12" ht="15.5" x14ac:dyDescent="0.35">
      <c r="A6" s="1">
        <v>2</v>
      </c>
      <c r="B6" s="6">
        <v>0.56999999999999995</v>
      </c>
      <c r="C6" s="6">
        <v>0.8</v>
      </c>
      <c r="D6" s="6">
        <v>0.98</v>
      </c>
      <c r="E6" s="6">
        <v>1.1299999999999999</v>
      </c>
      <c r="F6" s="6">
        <v>1.27</v>
      </c>
      <c r="G6" s="6">
        <v>1.38</v>
      </c>
      <c r="H6" s="6">
        <v>1.5</v>
      </c>
      <c r="I6" s="6">
        <v>1.6</v>
      </c>
      <c r="J6" s="6">
        <v>1.7</v>
      </c>
      <c r="K6" s="6">
        <v>1.79</v>
      </c>
      <c r="L6" s="6">
        <v>5.65</v>
      </c>
    </row>
    <row r="7" spans="1:12" ht="15.5" x14ac:dyDescent="0.35">
      <c r="A7" s="1">
        <v>3</v>
      </c>
      <c r="B7" s="6">
        <v>0.31</v>
      </c>
      <c r="C7" s="6">
        <v>0.43</v>
      </c>
      <c r="D7" s="6">
        <v>0.53</v>
      </c>
      <c r="E7" s="6">
        <v>0.61</v>
      </c>
      <c r="F7" s="6">
        <v>0.69</v>
      </c>
      <c r="G7" s="6">
        <v>0.75</v>
      </c>
      <c r="H7" s="6">
        <v>0.81</v>
      </c>
      <c r="I7" s="6">
        <v>0.87</v>
      </c>
      <c r="J7" s="6">
        <v>0.92</v>
      </c>
      <c r="K7" s="6">
        <v>0.97</v>
      </c>
      <c r="L7" s="6">
        <v>3.1</v>
      </c>
    </row>
    <row r="8" spans="1:12" ht="15.5" x14ac:dyDescent="0.35">
      <c r="A8" s="1">
        <v>4</v>
      </c>
      <c r="B8" s="6">
        <v>0.24</v>
      </c>
      <c r="C8" s="6">
        <v>0.34</v>
      </c>
      <c r="D8" s="6">
        <v>0.41</v>
      </c>
      <c r="E8" s="6">
        <v>0.48</v>
      </c>
      <c r="F8" s="6">
        <v>0.53</v>
      </c>
      <c r="G8" s="6">
        <v>0.57999999999999996</v>
      </c>
      <c r="H8" s="6">
        <v>0.63</v>
      </c>
      <c r="I8" s="6">
        <v>0.67</v>
      </c>
      <c r="J8" s="6">
        <v>0.71</v>
      </c>
      <c r="K8" s="6">
        <v>0.75</v>
      </c>
      <c r="L8" s="6">
        <v>2.4</v>
      </c>
    </row>
    <row r="9" spans="1:12" ht="15.5" x14ac:dyDescent="0.35">
      <c r="A9" s="1">
        <v>5</v>
      </c>
      <c r="B9" s="6">
        <v>0.2</v>
      </c>
      <c r="C9" s="6">
        <v>0.28999999999999998</v>
      </c>
      <c r="D9" s="6">
        <v>0.35</v>
      </c>
      <c r="E9" s="6">
        <v>0.4</v>
      </c>
      <c r="F9" s="6">
        <v>0.45</v>
      </c>
      <c r="G9" s="6">
        <v>0.5</v>
      </c>
      <c r="H9" s="6">
        <v>0.54</v>
      </c>
      <c r="I9" s="6">
        <v>0.56999999999999995</v>
      </c>
      <c r="J9" s="6">
        <v>0.61</v>
      </c>
      <c r="K9" s="6">
        <v>0.64</v>
      </c>
      <c r="L9" s="6">
        <v>2</v>
      </c>
    </row>
    <row r="10" spans="1:12" ht="15.5" x14ac:dyDescent="0.35">
      <c r="A10" s="1">
        <v>6</v>
      </c>
      <c r="B10" s="6">
        <v>0.18</v>
      </c>
      <c r="C10" s="6">
        <v>0.25</v>
      </c>
      <c r="D10" s="6">
        <v>0.31</v>
      </c>
      <c r="E10" s="6">
        <v>0.36</v>
      </c>
      <c r="F10" s="6">
        <v>0.4</v>
      </c>
      <c r="G10" s="6">
        <v>0.44</v>
      </c>
      <c r="H10" s="6">
        <v>0.48</v>
      </c>
      <c r="I10" s="6">
        <v>0.51</v>
      </c>
      <c r="J10" s="6">
        <v>0.54</v>
      </c>
      <c r="K10" s="6">
        <v>0.56999999999999995</v>
      </c>
      <c r="L10" s="6">
        <v>1.8</v>
      </c>
    </row>
    <row r="11" spans="1:12" ht="15.5" x14ac:dyDescent="0.35">
      <c r="A11" s="1">
        <v>7</v>
      </c>
      <c r="B11" s="6">
        <v>0.16</v>
      </c>
      <c r="C11" s="6">
        <v>0.23</v>
      </c>
      <c r="D11" s="6">
        <v>0.28000000000000003</v>
      </c>
      <c r="E11" s="6">
        <v>0.33</v>
      </c>
      <c r="F11" s="6">
        <v>0.36</v>
      </c>
      <c r="G11" s="6">
        <v>0.4</v>
      </c>
      <c r="H11" s="6">
        <v>0.43</v>
      </c>
      <c r="I11" s="6">
        <v>0.46</v>
      </c>
      <c r="J11" s="6">
        <v>0.49</v>
      </c>
      <c r="K11" s="6">
        <v>0.52</v>
      </c>
      <c r="L11" s="6">
        <v>1.6</v>
      </c>
    </row>
    <row r="12" spans="1:12" ht="15.5" x14ac:dyDescent="0.35">
      <c r="A12" s="1">
        <v>8</v>
      </c>
      <c r="B12" s="6">
        <v>0.15</v>
      </c>
      <c r="C12" s="6">
        <v>0.21</v>
      </c>
      <c r="D12" s="6">
        <v>0.26</v>
      </c>
      <c r="E12" s="6">
        <v>0.3</v>
      </c>
      <c r="F12" s="6">
        <v>0.34</v>
      </c>
      <c r="G12" s="6">
        <v>0.37</v>
      </c>
      <c r="H12" s="6">
        <v>0.4</v>
      </c>
      <c r="I12" s="6">
        <v>0.43</v>
      </c>
      <c r="J12" s="6">
        <v>0.45</v>
      </c>
      <c r="K12" s="6">
        <v>0.48</v>
      </c>
      <c r="L12" s="6">
        <v>1.5</v>
      </c>
    </row>
    <row r="13" spans="1:12" ht="15.5" x14ac:dyDescent="0.35">
      <c r="A13" s="1">
        <v>9</v>
      </c>
      <c r="B13" s="6">
        <v>0.14000000000000001</v>
      </c>
      <c r="C13" s="6">
        <v>0.2</v>
      </c>
      <c r="D13" s="6">
        <v>0.24</v>
      </c>
      <c r="E13" s="6">
        <v>0.28000000000000003</v>
      </c>
      <c r="F13" s="6">
        <v>0.32</v>
      </c>
      <c r="G13" s="6">
        <v>0.34</v>
      </c>
      <c r="H13" s="6">
        <v>0.37</v>
      </c>
      <c r="I13" s="6">
        <v>0.4</v>
      </c>
      <c r="J13" s="6">
        <v>0.42</v>
      </c>
      <c r="K13" s="6">
        <v>0.44</v>
      </c>
      <c r="L13" s="6">
        <v>1.4</v>
      </c>
    </row>
    <row r="14" spans="1:12" ht="15.5" x14ac:dyDescent="0.35">
      <c r="A14" s="1">
        <v>10</v>
      </c>
      <c r="B14" s="6">
        <v>0.13</v>
      </c>
      <c r="C14" s="6">
        <v>0.19</v>
      </c>
      <c r="D14" s="6">
        <v>0.23</v>
      </c>
      <c r="E14" s="6">
        <v>0.26</v>
      </c>
      <c r="F14" s="6">
        <v>0.3</v>
      </c>
      <c r="G14" s="6">
        <v>0.32</v>
      </c>
      <c r="H14" s="6">
        <v>0.35</v>
      </c>
      <c r="I14" s="6">
        <v>0.38</v>
      </c>
      <c r="J14" s="6">
        <v>0.4</v>
      </c>
      <c r="K14" s="6">
        <v>0.42</v>
      </c>
      <c r="L14" s="6">
        <v>1.3</v>
      </c>
    </row>
    <row r="15" spans="1:12" ht="15.5" x14ac:dyDescent="0.35">
      <c r="A15" s="1">
        <v>11</v>
      </c>
      <c r="B15" s="6">
        <v>0.13</v>
      </c>
      <c r="C15" s="6">
        <v>0.18</v>
      </c>
      <c r="D15" s="6">
        <v>0.22</v>
      </c>
      <c r="E15" s="6">
        <v>0.25</v>
      </c>
      <c r="F15" s="6">
        <v>0.28000000000000003</v>
      </c>
      <c r="G15" s="6">
        <v>0.31</v>
      </c>
      <c r="H15" s="6">
        <v>0.33</v>
      </c>
      <c r="I15" s="6">
        <v>0.36</v>
      </c>
      <c r="J15" s="6">
        <v>0.38</v>
      </c>
      <c r="K15" s="6">
        <v>0.4</v>
      </c>
      <c r="L15" s="6">
        <v>1.3</v>
      </c>
    </row>
    <row r="16" spans="1:12" ht="15.5" x14ac:dyDescent="0.35">
      <c r="A16" s="1">
        <v>12</v>
      </c>
      <c r="B16" s="6">
        <v>0.12</v>
      </c>
      <c r="C16" s="6">
        <v>0.17</v>
      </c>
      <c r="D16" s="6">
        <v>0.21</v>
      </c>
      <c r="E16" s="6">
        <v>0.24</v>
      </c>
      <c r="F16" s="6">
        <v>0.27</v>
      </c>
      <c r="G16" s="6">
        <v>0.28999999999999998</v>
      </c>
      <c r="H16" s="6">
        <v>0.32</v>
      </c>
      <c r="I16" s="6">
        <v>0.34</v>
      </c>
      <c r="J16" s="6">
        <v>0.36</v>
      </c>
      <c r="K16" s="6">
        <v>0.38</v>
      </c>
      <c r="L16" s="6">
        <v>1.2</v>
      </c>
    </row>
    <row r="17" spans="1:12" ht="15.5" x14ac:dyDescent="0.35">
      <c r="A17" s="1">
        <v>13</v>
      </c>
      <c r="B17" s="6">
        <v>0.12</v>
      </c>
      <c r="C17" s="6">
        <v>0.16</v>
      </c>
      <c r="D17" s="6">
        <v>0.2</v>
      </c>
      <c r="E17" s="6">
        <v>0.23</v>
      </c>
      <c r="F17" s="6">
        <v>0.26</v>
      </c>
      <c r="G17" s="6">
        <v>0.28000000000000003</v>
      </c>
      <c r="H17" s="6">
        <v>0.3</v>
      </c>
      <c r="I17" s="6">
        <v>0.32</v>
      </c>
      <c r="J17" s="6">
        <v>0.34</v>
      </c>
      <c r="K17" s="6">
        <v>0.36</v>
      </c>
      <c r="L17" s="6">
        <v>1.1000000000000001</v>
      </c>
    </row>
    <row r="18" spans="1:12" ht="15.5" x14ac:dyDescent="0.35">
      <c r="A18" s="1">
        <v>14</v>
      </c>
      <c r="B18" s="6">
        <v>0.11</v>
      </c>
      <c r="C18" s="6">
        <v>0.16</v>
      </c>
      <c r="D18" s="6">
        <v>0.19</v>
      </c>
      <c r="E18" s="6">
        <v>0.22</v>
      </c>
      <c r="F18" s="6">
        <v>0.25</v>
      </c>
      <c r="G18" s="6">
        <v>0.27</v>
      </c>
      <c r="H18" s="6">
        <v>0.28999999999999998</v>
      </c>
      <c r="I18" s="6">
        <v>0.31</v>
      </c>
      <c r="J18" s="6">
        <v>0.33</v>
      </c>
      <c r="K18" s="6">
        <v>0.35</v>
      </c>
      <c r="L18" s="6">
        <v>1.1000000000000001</v>
      </c>
    </row>
    <row r="19" spans="1:12" ht="15.5" x14ac:dyDescent="0.35">
      <c r="A19" s="3">
        <v>15</v>
      </c>
      <c r="B19" s="7">
        <v>0.11</v>
      </c>
      <c r="C19" s="7">
        <v>0.15</v>
      </c>
      <c r="D19" s="7">
        <v>0.18</v>
      </c>
      <c r="E19" s="7">
        <v>0.21</v>
      </c>
      <c r="F19" s="7">
        <v>0.24</v>
      </c>
      <c r="G19" s="7">
        <v>0.26</v>
      </c>
      <c r="H19" s="7">
        <v>0.28000000000000003</v>
      </c>
      <c r="I19" s="7">
        <v>0.3</v>
      </c>
      <c r="J19" s="7">
        <v>0.32</v>
      </c>
      <c r="K19" s="7">
        <v>0.34</v>
      </c>
      <c r="L19" s="7">
        <v>1.1000000000000001</v>
      </c>
    </row>
    <row r="23" spans="1:12" x14ac:dyDescent="0.35">
      <c r="C23" t="s">
        <v>3</v>
      </c>
      <c r="D23" t="s">
        <v>9</v>
      </c>
    </row>
    <row r="24" spans="1:12" x14ac:dyDescent="0.35">
      <c r="C24">
        <v>20</v>
      </c>
      <c r="D24" s="9">
        <f>0.5/(0.5+C24)</f>
        <v>2.4390243902439025E-2</v>
      </c>
    </row>
    <row r="25" spans="1:12" x14ac:dyDescent="0.35">
      <c r="C25">
        <v>50</v>
      </c>
      <c r="D25" s="9">
        <f t="shared" ref="D25:D28" si="0">0.5/(0.5+C25)</f>
        <v>9.9009900990099011E-3</v>
      </c>
    </row>
    <row r="26" spans="1:12" x14ac:dyDescent="0.35">
      <c r="C26">
        <v>100</v>
      </c>
      <c r="D26" s="9">
        <f t="shared" si="0"/>
        <v>4.9751243781094526E-3</v>
      </c>
    </row>
    <row r="27" spans="1:12" x14ac:dyDescent="0.35">
      <c r="C27">
        <v>150</v>
      </c>
      <c r="D27" s="9">
        <f t="shared" si="0"/>
        <v>3.3222591362126247E-3</v>
      </c>
    </row>
    <row r="28" spans="1:12" x14ac:dyDescent="0.35">
      <c r="C28">
        <v>200</v>
      </c>
      <c r="D28" s="9">
        <f t="shared" si="0"/>
        <v>2.4937655860349127E-3</v>
      </c>
    </row>
  </sheetData>
  <mergeCells count="1">
    <mergeCell ref="B4:L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B78D4-0149-4D54-918E-2574DE322655}">
  <dimension ref="A1:K19"/>
  <sheetViews>
    <sheetView workbookViewId="0"/>
  </sheetViews>
  <sheetFormatPr defaultRowHeight="14.5" x14ac:dyDescent="0.35"/>
  <sheetData>
    <row r="1" spans="1:11" x14ac:dyDescent="0.35">
      <c r="A1" t="s">
        <v>14</v>
      </c>
    </row>
    <row r="2" spans="1:11" x14ac:dyDescent="0.35">
      <c r="A2" t="s">
        <v>15</v>
      </c>
    </row>
    <row r="4" spans="1:11" ht="15.5" x14ac:dyDescent="0.35">
      <c r="A4" s="2"/>
      <c r="B4" s="18" t="s">
        <v>3</v>
      </c>
      <c r="C4" s="18"/>
      <c r="D4" s="18"/>
      <c r="E4" s="18"/>
      <c r="F4" s="18"/>
      <c r="G4" s="18"/>
      <c r="H4" s="18"/>
      <c r="I4" s="18"/>
      <c r="J4" s="18"/>
      <c r="K4" s="18"/>
    </row>
    <row r="5" spans="1:11" ht="15.5" x14ac:dyDescent="0.35">
      <c r="A5" s="4" t="s">
        <v>1</v>
      </c>
      <c r="B5" s="4">
        <v>10</v>
      </c>
      <c r="C5" s="4">
        <v>15</v>
      </c>
      <c r="D5" s="4">
        <v>20</v>
      </c>
      <c r="E5" s="4">
        <v>25</v>
      </c>
      <c r="F5" s="4">
        <v>50</v>
      </c>
      <c r="G5" s="4">
        <v>75</v>
      </c>
      <c r="H5" s="4">
        <v>100</v>
      </c>
      <c r="I5" s="4">
        <v>200</v>
      </c>
      <c r="J5" s="4">
        <v>500</v>
      </c>
      <c r="K5" s="19" t="s">
        <v>17</v>
      </c>
    </row>
    <row r="6" spans="1:11" ht="15.5" x14ac:dyDescent="0.35">
      <c r="A6" s="1">
        <v>2</v>
      </c>
      <c r="B6" s="6">
        <v>2.15</v>
      </c>
      <c r="C6" s="6">
        <v>1.9</v>
      </c>
      <c r="D6" s="6">
        <v>1.77</v>
      </c>
      <c r="E6" s="6">
        <v>1.68</v>
      </c>
      <c r="F6" s="6">
        <v>1.49</v>
      </c>
      <c r="G6" s="6">
        <v>1.42</v>
      </c>
      <c r="H6" s="6">
        <v>1.38</v>
      </c>
      <c r="I6" s="6">
        <v>1.32</v>
      </c>
      <c r="J6" s="6">
        <v>1.29</v>
      </c>
      <c r="K6" s="6">
        <v>1.27</v>
      </c>
    </row>
    <row r="7" spans="1:11" ht="15.5" x14ac:dyDescent="0.35">
      <c r="A7" s="1">
        <v>3</v>
      </c>
      <c r="B7" s="6">
        <v>1.17</v>
      </c>
      <c r="C7" s="6">
        <v>1.03</v>
      </c>
      <c r="D7" s="6">
        <v>0.96</v>
      </c>
      <c r="E7" s="6">
        <v>0.91</v>
      </c>
      <c r="F7" s="6">
        <v>0.81</v>
      </c>
      <c r="G7" s="6">
        <v>0.77</v>
      </c>
      <c r="H7" s="6">
        <v>0.75</v>
      </c>
      <c r="I7" s="6">
        <v>0.72</v>
      </c>
      <c r="J7" s="6">
        <v>0.7</v>
      </c>
      <c r="K7" s="6">
        <v>0.69</v>
      </c>
    </row>
    <row r="8" spans="1:11" ht="15.5" x14ac:dyDescent="0.35">
      <c r="A8" s="1">
        <v>4</v>
      </c>
      <c r="B8" s="6">
        <v>0.91</v>
      </c>
      <c r="C8" s="6">
        <v>0.8</v>
      </c>
      <c r="D8" s="6">
        <v>0.74</v>
      </c>
      <c r="E8" s="6">
        <v>0.71</v>
      </c>
      <c r="F8" s="6">
        <v>0.63</v>
      </c>
      <c r="G8" s="6">
        <v>0.6</v>
      </c>
      <c r="H8" s="6">
        <v>0.57999999999999996</v>
      </c>
      <c r="I8" s="6">
        <v>0.56000000000000005</v>
      </c>
      <c r="J8" s="6">
        <v>0.54</v>
      </c>
      <c r="K8" s="6">
        <v>0.53</v>
      </c>
    </row>
    <row r="9" spans="1:11" ht="15.5" x14ac:dyDescent="0.35">
      <c r="A9" s="1">
        <v>5</v>
      </c>
      <c r="B9" s="6">
        <v>0.77</v>
      </c>
      <c r="C9" s="6">
        <v>0.68</v>
      </c>
      <c r="D9" s="6">
        <v>0.63</v>
      </c>
      <c r="E9" s="6">
        <v>0.6</v>
      </c>
      <c r="F9" s="6">
        <v>0.53</v>
      </c>
      <c r="G9" s="6">
        <v>0.51</v>
      </c>
      <c r="H9" s="6">
        <v>0.49</v>
      </c>
      <c r="I9" s="6">
        <v>0.47</v>
      </c>
      <c r="J9" s="6">
        <v>0.46</v>
      </c>
      <c r="K9" s="6">
        <v>0.45</v>
      </c>
    </row>
    <row r="10" spans="1:11" ht="15.5" x14ac:dyDescent="0.35">
      <c r="A10" s="1">
        <v>6</v>
      </c>
      <c r="B10" s="6">
        <v>0.68</v>
      </c>
      <c r="C10" s="6">
        <v>0.6</v>
      </c>
      <c r="D10" s="6">
        <v>0.56000000000000005</v>
      </c>
      <c r="E10" s="6">
        <v>0.53</v>
      </c>
      <c r="F10" s="6">
        <v>0.47</v>
      </c>
      <c r="G10" s="6">
        <v>0.45</v>
      </c>
      <c r="H10" s="6">
        <v>0.44</v>
      </c>
      <c r="I10" s="6">
        <v>0.42</v>
      </c>
      <c r="J10" s="6">
        <v>0.41</v>
      </c>
      <c r="K10" s="6">
        <v>0.4</v>
      </c>
    </row>
    <row r="11" spans="1:11" ht="15.5" x14ac:dyDescent="0.35">
      <c r="A11" s="1">
        <v>7</v>
      </c>
      <c r="B11" s="6">
        <v>0.62</v>
      </c>
      <c r="C11" s="6">
        <v>0.55000000000000004</v>
      </c>
      <c r="D11" s="6">
        <v>0.51</v>
      </c>
      <c r="E11" s="6">
        <v>0.48</v>
      </c>
      <c r="F11" s="6">
        <v>0.43</v>
      </c>
      <c r="G11" s="6">
        <v>0.41</v>
      </c>
      <c r="H11" s="6">
        <v>0.4</v>
      </c>
      <c r="I11" s="6">
        <v>0.38</v>
      </c>
      <c r="J11" s="6">
        <v>0.37</v>
      </c>
      <c r="K11" s="6">
        <v>0.36</v>
      </c>
    </row>
    <row r="12" spans="1:11" ht="15.5" x14ac:dyDescent="0.35">
      <c r="A12" s="1">
        <v>8</v>
      </c>
      <c r="B12" s="6">
        <v>0.56999999999999995</v>
      </c>
      <c r="C12" s="6">
        <v>0.51</v>
      </c>
      <c r="D12" s="6">
        <v>0.47</v>
      </c>
      <c r="E12" s="6">
        <v>0.45</v>
      </c>
      <c r="F12" s="6">
        <v>0.4</v>
      </c>
      <c r="G12" s="6">
        <v>0.38</v>
      </c>
      <c r="H12" s="6">
        <v>0.37</v>
      </c>
      <c r="I12" s="6">
        <v>0.35</v>
      </c>
      <c r="J12" s="6">
        <v>0.34</v>
      </c>
      <c r="K12" s="6">
        <v>0.34</v>
      </c>
    </row>
    <row r="13" spans="1:11" ht="15.5" x14ac:dyDescent="0.35">
      <c r="A13" s="1">
        <v>9</v>
      </c>
      <c r="B13" s="6">
        <v>0.54</v>
      </c>
      <c r="C13" s="6">
        <v>0.47</v>
      </c>
      <c r="D13" s="6">
        <v>0.44</v>
      </c>
      <c r="E13" s="6">
        <v>0.42</v>
      </c>
      <c r="F13" s="6">
        <v>0.37</v>
      </c>
      <c r="G13" s="6">
        <v>0.35</v>
      </c>
      <c r="H13" s="6">
        <v>0.34</v>
      </c>
      <c r="I13" s="6">
        <v>0.33</v>
      </c>
      <c r="J13" s="6">
        <v>0.32</v>
      </c>
      <c r="K13" s="6">
        <v>0.32</v>
      </c>
    </row>
    <row r="14" spans="1:11" ht="15.5" x14ac:dyDescent="0.35">
      <c r="A14" s="1">
        <v>10</v>
      </c>
      <c r="B14" s="6">
        <v>0.5</v>
      </c>
      <c r="C14" s="6">
        <v>0.45</v>
      </c>
      <c r="D14" s="6">
        <v>0.41</v>
      </c>
      <c r="E14" s="6">
        <v>0.39</v>
      </c>
      <c r="F14" s="6">
        <v>0.35</v>
      </c>
      <c r="G14" s="6">
        <v>0.33</v>
      </c>
      <c r="H14" s="6">
        <v>0.32</v>
      </c>
      <c r="I14" s="6">
        <v>0.31</v>
      </c>
      <c r="J14" s="6">
        <v>0.3</v>
      </c>
      <c r="K14" s="6">
        <v>0.3</v>
      </c>
    </row>
    <row r="15" spans="1:11" ht="15.5" x14ac:dyDescent="0.35">
      <c r="A15" s="1">
        <v>11</v>
      </c>
      <c r="B15" s="6">
        <v>0.48</v>
      </c>
      <c r="C15" s="6">
        <v>0.42</v>
      </c>
      <c r="D15" s="6">
        <v>0.39</v>
      </c>
      <c r="E15" s="6">
        <v>0.37</v>
      </c>
      <c r="F15" s="6">
        <v>0.33</v>
      </c>
      <c r="G15" s="6">
        <v>0.32</v>
      </c>
      <c r="H15" s="6">
        <v>0.31</v>
      </c>
      <c r="I15" s="6">
        <v>0.28999999999999998</v>
      </c>
      <c r="J15" s="6">
        <v>0.28999999999999998</v>
      </c>
      <c r="K15" s="6">
        <v>0.28000000000000003</v>
      </c>
    </row>
    <row r="16" spans="1:11" ht="15.5" x14ac:dyDescent="0.35">
      <c r="A16" s="1">
        <v>12</v>
      </c>
      <c r="B16" s="6">
        <v>0.46</v>
      </c>
      <c r="C16" s="6">
        <v>0.4</v>
      </c>
      <c r="D16" s="6">
        <v>0.37</v>
      </c>
      <c r="E16" s="6">
        <v>0.36</v>
      </c>
      <c r="F16" s="6">
        <v>0.32</v>
      </c>
      <c r="G16" s="6">
        <v>0.3</v>
      </c>
      <c r="H16" s="6">
        <v>0.28999999999999998</v>
      </c>
      <c r="I16" s="6">
        <v>0.28000000000000003</v>
      </c>
      <c r="J16" s="6">
        <v>0.27</v>
      </c>
      <c r="K16" s="6">
        <v>0.27</v>
      </c>
    </row>
    <row r="17" spans="1:11" ht="15.5" x14ac:dyDescent="0.35">
      <c r="A17" s="1">
        <v>13</v>
      </c>
      <c r="B17" s="6">
        <v>0.44</v>
      </c>
      <c r="C17" s="6">
        <v>0.39</v>
      </c>
      <c r="D17" s="6">
        <v>0.36</v>
      </c>
      <c r="E17" s="6">
        <v>0.34</v>
      </c>
      <c r="F17" s="6">
        <v>0.3</v>
      </c>
      <c r="G17" s="6">
        <v>0.28999999999999998</v>
      </c>
      <c r="H17" s="6">
        <v>0.28000000000000003</v>
      </c>
      <c r="I17" s="6">
        <v>0.27</v>
      </c>
      <c r="J17" s="6">
        <v>0.26</v>
      </c>
      <c r="K17" s="6">
        <v>0.26</v>
      </c>
    </row>
    <row r="18" spans="1:11" ht="15.5" x14ac:dyDescent="0.35">
      <c r="A18" s="1">
        <v>14</v>
      </c>
      <c r="B18" s="6">
        <v>0.42</v>
      </c>
      <c r="C18" s="6">
        <v>0.37</v>
      </c>
      <c r="D18" s="6">
        <v>0.34</v>
      </c>
      <c r="E18" s="6">
        <v>0.33</v>
      </c>
      <c r="F18" s="6">
        <v>0.28999999999999998</v>
      </c>
      <c r="G18" s="6">
        <v>0.28000000000000003</v>
      </c>
      <c r="H18" s="6">
        <v>0.27</v>
      </c>
      <c r="I18" s="6">
        <v>0.26</v>
      </c>
      <c r="J18" s="6">
        <v>0.25</v>
      </c>
      <c r="K18" s="6">
        <v>0.25</v>
      </c>
    </row>
    <row r="19" spans="1:11" ht="15.5" x14ac:dyDescent="0.35">
      <c r="A19" s="3">
        <v>15</v>
      </c>
      <c r="B19" s="7">
        <v>0.4</v>
      </c>
      <c r="C19" s="7">
        <v>0.36</v>
      </c>
      <c r="D19" s="7">
        <v>0.33</v>
      </c>
      <c r="E19" s="7">
        <v>0.32</v>
      </c>
      <c r="F19" s="7">
        <v>0.28000000000000003</v>
      </c>
      <c r="G19" s="7">
        <v>0.27</v>
      </c>
      <c r="H19" s="7">
        <v>0.26</v>
      </c>
      <c r="I19" s="7">
        <v>0.25</v>
      </c>
      <c r="J19" s="7">
        <v>0.24</v>
      </c>
      <c r="K19" s="7">
        <v>0.24</v>
      </c>
    </row>
  </sheetData>
  <mergeCells count="1">
    <mergeCell ref="B4:K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4C296-A26E-4EDF-B5A2-5B9492559526}">
  <dimension ref="A1:K19"/>
  <sheetViews>
    <sheetView workbookViewId="0">
      <selection activeCell="C23" sqref="C23"/>
    </sheetView>
  </sheetViews>
  <sheetFormatPr defaultRowHeight="14.5" x14ac:dyDescent="0.35"/>
  <sheetData>
    <row r="1" spans="1:11" x14ac:dyDescent="0.35">
      <c r="A1" t="s">
        <v>16</v>
      </c>
    </row>
    <row r="2" spans="1:11" x14ac:dyDescent="0.35">
      <c r="A2" t="s">
        <v>32</v>
      </c>
    </row>
    <row r="4" spans="1:11" ht="15.5" x14ac:dyDescent="0.35">
      <c r="A4" s="2"/>
      <c r="B4" s="18" t="s">
        <v>31</v>
      </c>
      <c r="C4" s="18"/>
      <c r="D4" s="18"/>
      <c r="E4" s="18"/>
      <c r="F4" s="18"/>
      <c r="G4" s="18"/>
      <c r="H4" s="18"/>
      <c r="I4" s="18"/>
      <c r="J4" s="18"/>
      <c r="K4" s="18"/>
    </row>
    <row r="5" spans="1:11" ht="15.5" x14ac:dyDescent="0.35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27</v>
      </c>
      <c r="I5" s="3" t="s">
        <v>28</v>
      </c>
      <c r="J5" s="3" t="s">
        <v>29</v>
      </c>
      <c r="K5" s="3" t="s">
        <v>30</v>
      </c>
    </row>
    <row r="6" spans="1:11" ht="15.5" x14ac:dyDescent="0.35">
      <c r="A6" s="1">
        <v>2</v>
      </c>
      <c r="B6" s="6">
        <v>1.486</v>
      </c>
      <c r="C6" s="6">
        <v>1.0209999999999999</v>
      </c>
      <c r="D6" s="6">
        <v>0.85599999999999998</v>
      </c>
      <c r="E6" s="6">
        <v>0.77300000000000002</v>
      </c>
      <c r="F6" s="6">
        <v>0.72299999999999998</v>
      </c>
      <c r="G6" s="6">
        <v>0.68899999999999995</v>
      </c>
      <c r="H6" s="6">
        <v>0.61299999999999999</v>
      </c>
      <c r="I6" s="6">
        <v>0.58399999999999996</v>
      </c>
      <c r="J6" s="6">
        <v>0.56899999999999995</v>
      </c>
      <c r="K6" s="6">
        <v>0.56000000000000005</v>
      </c>
    </row>
    <row r="7" spans="1:11" ht="15.5" x14ac:dyDescent="0.35">
      <c r="A7" s="1">
        <v>3</v>
      </c>
      <c r="B7" s="6">
        <v>0.80700000000000005</v>
      </c>
      <c r="C7" s="6">
        <v>0.70499999999999996</v>
      </c>
      <c r="D7" s="6">
        <v>0.64600000000000002</v>
      </c>
      <c r="E7" s="6">
        <v>0.60799999999999998</v>
      </c>
      <c r="F7" s="6">
        <v>0.58099999999999996</v>
      </c>
      <c r="G7" s="6">
        <v>0.56100000000000005</v>
      </c>
      <c r="H7" s="6">
        <v>0.50700000000000001</v>
      </c>
      <c r="I7" s="6">
        <v>0.48399999999999999</v>
      </c>
      <c r="J7" s="6">
        <v>0.47099999999999997</v>
      </c>
      <c r="K7" s="6">
        <v>0.46300000000000002</v>
      </c>
    </row>
    <row r="8" spans="1:11" ht="15.5" x14ac:dyDescent="0.35">
      <c r="A8" s="1">
        <v>4</v>
      </c>
      <c r="B8" s="6">
        <v>0.626</v>
      </c>
      <c r="C8" s="6">
        <v>0.57699999999999996</v>
      </c>
      <c r="D8" s="6">
        <v>0.54300000000000004</v>
      </c>
      <c r="E8" s="6">
        <v>0.51900000000000002</v>
      </c>
      <c r="F8" s="6">
        <v>0.501</v>
      </c>
      <c r="G8" s="6">
        <v>0.48599999999999999</v>
      </c>
      <c r="H8" s="6">
        <v>0.44500000000000001</v>
      </c>
      <c r="I8" s="6">
        <v>0.42499999999999999</v>
      </c>
      <c r="J8" s="6">
        <v>0.41299999999999998</v>
      </c>
      <c r="K8" s="6">
        <v>0.40600000000000003</v>
      </c>
    </row>
    <row r="9" spans="1:11" ht="15.5" x14ac:dyDescent="0.35">
      <c r="A9" s="1">
        <v>5</v>
      </c>
      <c r="B9" s="6">
        <v>0.53200000000000003</v>
      </c>
      <c r="C9" s="6">
        <v>0.501</v>
      </c>
      <c r="D9" s="6">
        <v>0.47899999999999998</v>
      </c>
      <c r="E9" s="6">
        <v>0.46100000000000002</v>
      </c>
      <c r="F9" s="6">
        <v>0.44800000000000001</v>
      </c>
      <c r="G9" s="6">
        <v>0.437</v>
      </c>
      <c r="H9" s="6">
        <v>0.40200000000000002</v>
      </c>
      <c r="I9" s="6">
        <v>0.38500000000000001</v>
      </c>
      <c r="J9" s="6">
        <v>0.374</v>
      </c>
      <c r="K9" s="6">
        <v>0.36699999999999999</v>
      </c>
    </row>
    <row r="10" spans="1:11" ht="15.5" x14ac:dyDescent="0.35">
      <c r="A10" s="1">
        <v>6</v>
      </c>
      <c r="B10" s="6">
        <v>0.47199999999999998</v>
      </c>
      <c r="C10" s="6">
        <v>0.45</v>
      </c>
      <c r="D10" s="6">
        <v>0.434</v>
      </c>
      <c r="E10" s="6">
        <v>0.42</v>
      </c>
      <c r="F10" s="6">
        <v>0.40899999999999997</v>
      </c>
      <c r="G10" s="6">
        <v>0.4</v>
      </c>
      <c r="H10" s="6">
        <v>0.371</v>
      </c>
      <c r="I10" s="6">
        <v>0.35499999999999998</v>
      </c>
      <c r="J10" s="6">
        <v>0.34499999999999997</v>
      </c>
      <c r="K10" s="6">
        <v>0.33800000000000002</v>
      </c>
    </row>
    <row r="11" spans="1:11" ht="15.5" x14ac:dyDescent="0.35">
      <c r="A11" s="1">
        <v>7</v>
      </c>
      <c r="B11" s="6">
        <v>0.42899999999999999</v>
      </c>
      <c r="C11" s="6">
        <v>0.41299999999999998</v>
      </c>
      <c r="D11" s="6">
        <v>0.39900000000000002</v>
      </c>
      <c r="E11" s="6">
        <v>0.38900000000000001</v>
      </c>
      <c r="F11" s="6">
        <v>0.38</v>
      </c>
      <c r="G11" s="6">
        <v>0.372</v>
      </c>
      <c r="H11" s="6">
        <v>0.34599999999999997</v>
      </c>
      <c r="I11" s="6">
        <v>0.33200000000000002</v>
      </c>
      <c r="J11" s="6">
        <v>0.32200000000000001</v>
      </c>
      <c r="K11" s="6">
        <v>0.316</v>
      </c>
    </row>
    <row r="12" spans="1:11" ht="15.5" x14ac:dyDescent="0.35">
      <c r="A12" s="1">
        <v>8</v>
      </c>
      <c r="B12" s="6">
        <v>0.39600000000000002</v>
      </c>
      <c r="C12" s="6">
        <v>0.38300000000000001</v>
      </c>
      <c r="D12" s="6">
        <v>0.372</v>
      </c>
      <c r="E12" s="6">
        <v>0.36299999999999999</v>
      </c>
      <c r="F12" s="6">
        <v>0.35599999999999998</v>
      </c>
      <c r="G12" s="6">
        <v>0.34899999999999998</v>
      </c>
      <c r="H12" s="6">
        <v>0.32600000000000001</v>
      </c>
      <c r="I12" s="6">
        <v>0.313</v>
      </c>
      <c r="J12" s="6">
        <v>0.30399999999999999</v>
      </c>
      <c r="K12" s="6">
        <v>0.29799999999999999</v>
      </c>
    </row>
    <row r="13" spans="1:11" ht="15.5" x14ac:dyDescent="0.35">
      <c r="A13" s="1">
        <v>9</v>
      </c>
      <c r="B13" s="6">
        <v>0.37</v>
      </c>
      <c r="C13" s="6">
        <v>0.35899999999999999</v>
      </c>
      <c r="D13" s="6">
        <v>0.35</v>
      </c>
      <c r="E13" s="6">
        <v>0.34300000000000003</v>
      </c>
      <c r="F13" s="6">
        <v>0.33600000000000002</v>
      </c>
      <c r="G13" s="6">
        <v>0.33</v>
      </c>
      <c r="H13" s="6">
        <v>0.31</v>
      </c>
      <c r="I13" s="6">
        <v>0.29699999999999999</v>
      </c>
      <c r="J13" s="6">
        <v>0.28899999999999998</v>
      </c>
      <c r="K13" s="6">
        <v>0.28299999999999997</v>
      </c>
    </row>
    <row r="14" spans="1:11" ht="15.5" x14ac:dyDescent="0.35">
      <c r="A14" s="1">
        <v>10</v>
      </c>
      <c r="B14" s="6">
        <v>0.34899999999999998</v>
      </c>
      <c r="C14" s="6">
        <v>0.33900000000000002</v>
      </c>
      <c r="D14" s="6">
        <v>0.33200000000000002</v>
      </c>
      <c r="E14" s="6">
        <v>0.32500000000000001</v>
      </c>
      <c r="F14" s="6">
        <v>0.31900000000000001</v>
      </c>
      <c r="G14" s="6">
        <v>0.314</v>
      </c>
      <c r="H14" s="6">
        <v>0.29599999999999999</v>
      </c>
      <c r="I14" s="6">
        <v>0.28399999999999997</v>
      </c>
      <c r="J14" s="6">
        <v>0.27600000000000002</v>
      </c>
      <c r="K14" s="6">
        <v>0.27</v>
      </c>
    </row>
    <row r="15" spans="1:11" ht="15.5" x14ac:dyDescent="0.35">
      <c r="A15" s="1">
        <v>11</v>
      </c>
      <c r="B15" s="6">
        <v>0.33</v>
      </c>
      <c r="C15" s="6">
        <v>0.32300000000000001</v>
      </c>
      <c r="D15" s="6">
        <v>0.316</v>
      </c>
      <c r="E15" s="6">
        <v>0.31</v>
      </c>
      <c r="F15" s="6">
        <v>0.30499999999999999</v>
      </c>
      <c r="G15" s="6">
        <v>0.3</v>
      </c>
      <c r="H15" s="6">
        <v>0.28399999999999997</v>
      </c>
      <c r="I15" s="6">
        <v>0.27300000000000002</v>
      </c>
      <c r="J15" s="6">
        <v>0.26500000000000001</v>
      </c>
      <c r="K15" s="6">
        <v>0.26</v>
      </c>
    </row>
    <row r="16" spans="1:11" ht="15.5" x14ac:dyDescent="0.35">
      <c r="A16" s="1">
        <v>12</v>
      </c>
      <c r="B16" s="6">
        <v>0.315</v>
      </c>
      <c r="C16" s="6">
        <v>0.308</v>
      </c>
      <c r="D16" s="6">
        <v>0.30199999999999999</v>
      </c>
      <c r="E16" s="6">
        <v>0.29699999999999999</v>
      </c>
      <c r="F16" s="6">
        <v>0.29199999999999998</v>
      </c>
      <c r="G16" s="6">
        <v>0.28799999999999998</v>
      </c>
      <c r="H16" s="6">
        <v>0.27300000000000002</v>
      </c>
      <c r="I16" s="6">
        <v>0.26300000000000001</v>
      </c>
      <c r="J16" s="6">
        <v>0.255</v>
      </c>
      <c r="K16" s="6">
        <v>0.25</v>
      </c>
    </row>
    <row r="17" spans="1:11" ht="15.5" x14ac:dyDescent="0.35">
      <c r="A17" s="1">
        <v>13</v>
      </c>
      <c r="B17" s="6">
        <v>0.30099999999999999</v>
      </c>
      <c r="C17" s="6">
        <v>0.29499999999999998</v>
      </c>
      <c r="D17" s="6">
        <v>0.28999999999999998</v>
      </c>
      <c r="E17" s="6">
        <v>0.28599999999999998</v>
      </c>
      <c r="F17" s="6">
        <v>0.28100000000000003</v>
      </c>
      <c r="G17" s="6">
        <v>0.27800000000000002</v>
      </c>
      <c r="H17" s="6">
        <v>0.26300000000000001</v>
      </c>
      <c r="I17" s="6">
        <v>0.254</v>
      </c>
      <c r="J17" s="6">
        <v>0.247</v>
      </c>
      <c r="K17" s="6">
        <v>0.24199999999999999</v>
      </c>
    </row>
    <row r="18" spans="1:11" ht="15.5" x14ac:dyDescent="0.35">
      <c r="A18" s="1">
        <v>14</v>
      </c>
      <c r="B18" s="6">
        <v>0.28899999999999998</v>
      </c>
      <c r="C18" s="6">
        <v>0.28399999999999997</v>
      </c>
      <c r="D18" s="6">
        <v>0.28000000000000003</v>
      </c>
      <c r="E18" s="6">
        <v>0.27500000000000002</v>
      </c>
      <c r="F18" s="6">
        <v>0.27200000000000002</v>
      </c>
      <c r="G18" s="6">
        <v>0.26800000000000002</v>
      </c>
      <c r="H18" s="6">
        <v>0.255</v>
      </c>
      <c r="I18" s="6">
        <v>0.246</v>
      </c>
      <c r="J18" s="6">
        <v>0.23899999999999999</v>
      </c>
      <c r="K18" s="6">
        <v>0.23400000000000001</v>
      </c>
    </row>
    <row r="19" spans="1:11" ht="15.5" x14ac:dyDescent="0.35">
      <c r="A19" s="3">
        <v>15</v>
      </c>
      <c r="B19" s="7">
        <v>0.27900000000000003</v>
      </c>
      <c r="C19" s="7">
        <v>0.27400000000000002</v>
      </c>
      <c r="D19" s="7">
        <v>0.27</v>
      </c>
      <c r="E19" s="7">
        <v>0.26600000000000001</v>
      </c>
      <c r="F19" s="7">
        <v>0.26300000000000001</v>
      </c>
      <c r="G19" s="7">
        <v>0.25900000000000001</v>
      </c>
      <c r="H19" s="7">
        <v>0.247</v>
      </c>
      <c r="I19" s="7">
        <v>0.23899999999999999</v>
      </c>
      <c r="J19" s="7">
        <v>0.23200000000000001</v>
      </c>
      <c r="K19" s="7">
        <v>0.22700000000000001</v>
      </c>
    </row>
  </sheetData>
  <mergeCells count="1">
    <mergeCell ref="B4:K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675DC-527E-43BD-8F84-D2815B1ABA00}">
  <dimension ref="A1:G24"/>
  <sheetViews>
    <sheetView topLeftCell="A4" workbookViewId="0">
      <selection activeCell="I12" sqref="I12"/>
    </sheetView>
  </sheetViews>
  <sheetFormatPr defaultRowHeight="14.5" x14ac:dyDescent="0.35"/>
  <sheetData>
    <row r="1" spans="1:7" x14ac:dyDescent="0.35">
      <c r="A1" t="s">
        <v>39</v>
      </c>
    </row>
    <row r="2" spans="1:7" x14ac:dyDescent="0.35">
      <c r="A2" t="s">
        <v>40</v>
      </c>
    </row>
    <row r="4" spans="1:7" ht="15.5" x14ac:dyDescent="0.35">
      <c r="A4" s="16" t="s">
        <v>1</v>
      </c>
      <c r="B4" s="16" t="s">
        <v>3</v>
      </c>
      <c r="C4" s="16" t="s">
        <v>5</v>
      </c>
      <c r="D4" s="16" t="s">
        <v>2</v>
      </c>
      <c r="E4" s="16" t="s">
        <v>6</v>
      </c>
      <c r="F4" s="16" t="s">
        <v>7</v>
      </c>
      <c r="G4" s="16" t="s">
        <v>8</v>
      </c>
    </row>
    <row r="5" spans="1:7" ht="15.5" x14ac:dyDescent="0.35">
      <c r="A5" s="1">
        <v>2</v>
      </c>
      <c r="B5" s="1">
        <v>100</v>
      </c>
      <c r="C5" s="1">
        <v>400</v>
      </c>
      <c r="D5" s="8">
        <v>0.2</v>
      </c>
      <c r="E5" s="14">
        <v>6.6799999999999998E-2</v>
      </c>
      <c r="F5" s="14">
        <v>1.867</v>
      </c>
      <c r="G5" s="13">
        <v>3.0300000000000001E-2</v>
      </c>
    </row>
    <row r="6" spans="1:7" ht="15.5" x14ac:dyDescent="0.35">
      <c r="A6" s="1">
        <v>4</v>
      </c>
      <c r="B6" s="1">
        <v>50</v>
      </c>
      <c r="C6" s="8">
        <v>400</v>
      </c>
      <c r="D6" s="8">
        <v>0.2</v>
      </c>
      <c r="E6" s="14">
        <v>0.1076</v>
      </c>
      <c r="F6" s="14">
        <v>0.81799999999999995</v>
      </c>
      <c r="G6" s="13">
        <v>4.1200000000000001E-2</v>
      </c>
    </row>
    <row r="7" spans="1:7" ht="15.5" x14ac:dyDescent="0.35">
      <c r="A7" s="1">
        <v>5</v>
      </c>
      <c r="B7" s="1">
        <v>40</v>
      </c>
      <c r="C7" s="8">
        <v>400</v>
      </c>
      <c r="D7" s="8">
        <v>0.2</v>
      </c>
      <c r="E7" s="14">
        <v>0.1258</v>
      </c>
      <c r="F7" s="14">
        <v>0.70899999999999996</v>
      </c>
      <c r="G7" s="13">
        <v>4.5199999999999997E-2</v>
      </c>
    </row>
    <row r="8" spans="1:7" x14ac:dyDescent="0.35">
      <c r="A8" s="8">
        <v>8</v>
      </c>
      <c r="B8" s="8">
        <v>25</v>
      </c>
      <c r="C8" s="8">
        <v>400</v>
      </c>
      <c r="D8" s="8">
        <v>0.2</v>
      </c>
      <c r="E8" s="14">
        <v>0.1729</v>
      </c>
      <c r="F8" s="14">
        <v>0.55600000000000005</v>
      </c>
      <c r="G8" s="13">
        <v>5.4199999999999998E-2</v>
      </c>
    </row>
    <row r="9" spans="1:7" x14ac:dyDescent="0.35">
      <c r="A9" s="8">
        <v>10</v>
      </c>
      <c r="B9" s="8">
        <v>20</v>
      </c>
      <c r="C9" s="8">
        <v>400</v>
      </c>
      <c r="D9" s="8">
        <v>0.2</v>
      </c>
      <c r="E9" s="14">
        <v>0.19939999999999999</v>
      </c>
      <c r="F9" s="14">
        <v>0.505</v>
      </c>
      <c r="G9" s="13">
        <v>5.8700000000000002E-2</v>
      </c>
    </row>
    <row r="10" spans="1:7" x14ac:dyDescent="0.35">
      <c r="A10" s="8">
        <v>20</v>
      </c>
      <c r="B10" s="8">
        <v>10</v>
      </c>
      <c r="C10" s="8">
        <v>400</v>
      </c>
      <c r="D10" s="8">
        <v>0.2</v>
      </c>
      <c r="E10" s="14">
        <v>0.29299999999999998</v>
      </c>
      <c r="F10" s="14">
        <v>0.39700000000000002</v>
      </c>
      <c r="G10" s="13">
        <v>7.2499999999999995E-2</v>
      </c>
    </row>
    <row r="11" spans="1:7" x14ac:dyDescent="0.35">
      <c r="A11" s="8"/>
      <c r="B11" s="8"/>
      <c r="C11" s="8"/>
      <c r="D11" s="8"/>
      <c r="E11" s="8"/>
      <c r="F11" s="8"/>
      <c r="G11" s="13"/>
    </row>
    <row r="12" spans="1:7" x14ac:dyDescent="0.35">
      <c r="A12" s="8">
        <v>2</v>
      </c>
      <c r="B12" s="8">
        <v>100</v>
      </c>
      <c r="C12" s="8">
        <v>400</v>
      </c>
      <c r="D12" s="8">
        <v>0.35</v>
      </c>
      <c r="E12" s="14">
        <v>0.10100000000000001</v>
      </c>
      <c r="F12" s="14">
        <v>1.867</v>
      </c>
      <c r="G12" s="13">
        <v>3.0300000000000001E-2</v>
      </c>
    </row>
    <row r="13" spans="1:7" x14ac:dyDescent="0.35">
      <c r="A13" s="8">
        <v>4</v>
      </c>
      <c r="B13" s="8">
        <v>50</v>
      </c>
      <c r="C13" s="8">
        <v>400</v>
      </c>
      <c r="D13" s="8">
        <v>0.35</v>
      </c>
      <c r="E13" s="14">
        <v>0.23</v>
      </c>
      <c r="F13" s="14">
        <v>0.81799999999999995</v>
      </c>
      <c r="G13" s="13">
        <v>4.1200000000000001E-2</v>
      </c>
    </row>
    <row r="14" spans="1:7" x14ac:dyDescent="0.35">
      <c r="A14" s="8">
        <v>5</v>
      </c>
      <c r="B14" s="8">
        <v>40</v>
      </c>
      <c r="C14" s="8">
        <v>400</v>
      </c>
      <c r="D14" s="8">
        <v>0.35</v>
      </c>
      <c r="E14" s="14">
        <v>0.28599999999999998</v>
      </c>
      <c r="F14" s="14">
        <v>0.70899999999999996</v>
      </c>
      <c r="G14" s="13">
        <v>4.5199999999999997E-2</v>
      </c>
    </row>
    <row r="15" spans="1:7" x14ac:dyDescent="0.35">
      <c r="A15" s="8">
        <v>8</v>
      </c>
      <c r="B15" s="8">
        <v>25</v>
      </c>
      <c r="C15" s="8">
        <v>400</v>
      </c>
      <c r="D15" s="8">
        <v>0.35</v>
      </c>
      <c r="E15" s="14">
        <v>0.42399999999999999</v>
      </c>
      <c r="F15" s="14">
        <v>0.55600000000000005</v>
      </c>
      <c r="G15" s="13">
        <v>5.4199999999999998E-2</v>
      </c>
    </row>
    <row r="16" spans="1:7" x14ac:dyDescent="0.35">
      <c r="A16" s="8">
        <v>10</v>
      </c>
      <c r="B16" s="8">
        <v>20</v>
      </c>
      <c r="C16" s="8">
        <v>400</v>
      </c>
      <c r="D16" s="8">
        <v>0.35</v>
      </c>
      <c r="E16" s="14">
        <v>0.49399999999999999</v>
      </c>
      <c r="F16" s="14">
        <v>0.505</v>
      </c>
      <c r="G16" s="13">
        <v>5.8700000000000002E-2</v>
      </c>
    </row>
    <row r="17" spans="1:7" x14ac:dyDescent="0.35">
      <c r="A17" s="8">
        <v>20</v>
      </c>
      <c r="B17" s="8">
        <v>10</v>
      </c>
      <c r="C17" s="8">
        <v>400</v>
      </c>
      <c r="D17" s="8">
        <v>0.35</v>
      </c>
      <c r="E17" s="14">
        <v>0.69699999999999995</v>
      </c>
      <c r="F17" s="14">
        <v>0.39700000000000002</v>
      </c>
      <c r="G17" s="13">
        <v>7.2499999999999995E-2</v>
      </c>
    </row>
    <row r="18" spans="1:7" x14ac:dyDescent="0.35">
      <c r="A18" s="8"/>
      <c r="B18" s="8"/>
      <c r="C18" s="8"/>
      <c r="D18" s="8"/>
      <c r="E18" s="8"/>
      <c r="F18" s="8"/>
      <c r="G18" s="13"/>
    </row>
    <row r="19" spans="1:7" x14ac:dyDescent="0.35">
      <c r="A19" s="8">
        <v>2</v>
      </c>
      <c r="B19" s="8">
        <v>100</v>
      </c>
      <c r="C19" s="8">
        <v>400</v>
      </c>
      <c r="D19" s="8">
        <v>0.5</v>
      </c>
      <c r="E19" s="14">
        <v>0.15</v>
      </c>
      <c r="F19" s="14">
        <v>1.867</v>
      </c>
      <c r="G19" s="13">
        <v>3.0300000000000001E-2</v>
      </c>
    </row>
    <row r="20" spans="1:7" x14ac:dyDescent="0.35">
      <c r="A20" s="8">
        <v>4</v>
      </c>
      <c r="B20" s="8">
        <v>50</v>
      </c>
      <c r="C20" s="8">
        <v>400</v>
      </c>
      <c r="D20" s="8">
        <v>0.5</v>
      </c>
      <c r="E20" s="14">
        <v>0.41</v>
      </c>
      <c r="F20" s="14">
        <v>0.81799999999999995</v>
      </c>
      <c r="G20" s="13">
        <v>4.1200000000000001E-2</v>
      </c>
    </row>
    <row r="21" spans="1:7" x14ac:dyDescent="0.35">
      <c r="A21" s="8">
        <v>5</v>
      </c>
      <c r="B21" s="8">
        <v>40</v>
      </c>
      <c r="C21" s="8">
        <v>400</v>
      </c>
      <c r="D21" s="8">
        <v>0.5</v>
      </c>
      <c r="E21" s="14">
        <v>0.51</v>
      </c>
      <c r="F21" s="14">
        <v>0.70899999999999996</v>
      </c>
      <c r="G21" s="13">
        <v>4.5199999999999997E-2</v>
      </c>
    </row>
    <row r="22" spans="1:7" x14ac:dyDescent="0.35">
      <c r="A22" s="8">
        <v>8</v>
      </c>
      <c r="B22" s="8">
        <v>25</v>
      </c>
      <c r="C22" s="8">
        <v>400</v>
      </c>
      <c r="D22" s="8">
        <v>0.5</v>
      </c>
      <c r="E22" s="14">
        <v>0.71299999999999997</v>
      </c>
      <c r="F22" s="14">
        <v>0.55600000000000005</v>
      </c>
      <c r="G22" s="13">
        <v>5.4199999999999998E-2</v>
      </c>
    </row>
    <row r="23" spans="1:7" x14ac:dyDescent="0.35">
      <c r="A23" s="8">
        <v>10</v>
      </c>
      <c r="B23" s="8">
        <v>20</v>
      </c>
      <c r="C23" s="8">
        <v>400</v>
      </c>
      <c r="D23" s="8">
        <v>0.5</v>
      </c>
      <c r="E23" s="14">
        <v>0.79300000000000004</v>
      </c>
      <c r="F23" s="14">
        <v>0.505</v>
      </c>
      <c r="G23" s="13">
        <v>5.8700000000000002E-2</v>
      </c>
    </row>
    <row r="24" spans="1:7" x14ac:dyDescent="0.35">
      <c r="A24" s="10">
        <v>20</v>
      </c>
      <c r="B24" s="10">
        <v>10</v>
      </c>
      <c r="C24" s="10">
        <v>400</v>
      </c>
      <c r="D24" s="10">
        <v>0.5</v>
      </c>
      <c r="E24" s="11">
        <v>0.94199999999999995</v>
      </c>
      <c r="F24" s="11">
        <v>0.39700000000000002</v>
      </c>
      <c r="G24" s="12">
        <v>7.2499999999999995E-2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DAB71-77AA-4B3D-8B31-89DE02F25BAD}">
  <dimension ref="A1:K19"/>
  <sheetViews>
    <sheetView workbookViewId="0">
      <selection sqref="A1:K5"/>
    </sheetView>
  </sheetViews>
  <sheetFormatPr defaultRowHeight="14.5" x14ac:dyDescent="0.35"/>
  <sheetData>
    <row r="1" spans="1:11" x14ac:dyDescent="0.35">
      <c r="A1" t="s">
        <v>19</v>
      </c>
    </row>
    <row r="2" spans="1:11" x14ac:dyDescent="0.35">
      <c r="A2" t="s">
        <v>18</v>
      </c>
    </row>
    <row r="4" spans="1:11" ht="15.5" x14ac:dyDescent="0.35">
      <c r="A4" s="2"/>
      <c r="B4" s="18" t="s">
        <v>3</v>
      </c>
      <c r="C4" s="18"/>
      <c r="D4" s="18"/>
      <c r="E4" s="18"/>
      <c r="F4" s="18"/>
      <c r="G4" s="18"/>
      <c r="H4" s="18"/>
      <c r="I4" s="18"/>
      <c r="J4" s="18"/>
      <c r="K4" s="18"/>
    </row>
    <row r="5" spans="1:11" ht="15.5" x14ac:dyDescent="0.35">
      <c r="A5" s="4" t="s">
        <v>1</v>
      </c>
      <c r="B5" s="4">
        <v>10</v>
      </c>
      <c r="C5" s="4">
        <v>15</v>
      </c>
      <c r="D5" s="4">
        <v>20</v>
      </c>
      <c r="E5" s="4">
        <v>25</v>
      </c>
      <c r="F5" s="4">
        <v>50</v>
      </c>
      <c r="G5" s="4">
        <v>75</v>
      </c>
      <c r="H5" s="4">
        <v>100</v>
      </c>
      <c r="I5" s="4">
        <v>200</v>
      </c>
      <c r="J5" s="4">
        <v>500</v>
      </c>
      <c r="K5" s="19" t="s">
        <v>17</v>
      </c>
    </row>
    <row r="6" spans="1:11" ht="15.5" x14ac:dyDescent="0.35">
      <c r="A6" s="1">
        <v>2</v>
      </c>
      <c r="B6" s="6">
        <v>1.94</v>
      </c>
      <c r="C6" s="6">
        <v>1.65</v>
      </c>
      <c r="D6" s="6">
        <v>1.49</v>
      </c>
      <c r="E6" s="6">
        <v>1.38</v>
      </c>
      <c r="F6" s="6">
        <v>1.1299999999999999</v>
      </c>
      <c r="G6" s="6">
        <v>1.03</v>
      </c>
      <c r="H6" s="6">
        <v>0.98</v>
      </c>
      <c r="I6" s="6">
        <v>0.89</v>
      </c>
      <c r="J6" s="6">
        <v>0.84</v>
      </c>
      <c r="K6" s="6">
        <v>0.8</v>
      </c>
    </row>
    <row r="7" spans="1:11" ht="15.5" x14ac:dyDescent="0.35">
      <c r="A7" s="1">
        <v>3</v>
      </c>
      <c r="B7" s="6">
        <v>1.05</v>
      </c>
      <c r="C7" s="6">
        <v>0.9</v>
      </c>
      <c r="D7" s="6">
        <v>0.81</v>
      </c>
      <c r="E7" s="6">
        <v>0.75</v>
      </c>
      <c r="F7" s="6">
        <v>0.61</v>
      </c>
      <c r="G7" s="6">
        <v>0.56000000000000005</v>
      </c>
      <c r="H7" s="6">
        <v>0.53</v>
      </c>
      <c r="I7" s="6">
        <v>0.48</v>
      </c>
      <c r="J7" s="6">
        <v>0.46</v>
      </c>
      <c r="K7" s="6">
        <v>0.43</v>
      </c>
    </row>
    <row r="8" spans="1:11" ht="15.5" x14ac:dyDescent="0.35">
      <c r="A8" s="1">
        <v>4</v>
      </c>
      <c r="B8" s="6">
        <v>0.82</v>
      </c>
      <c r="C8" s="6">
        <v>0.7</v>
      </c>
      <c r="D8" s="6">
        <v>0.63</v>
      </c>
      <c r="E8" s="6">
        <v>0.57999999999999996</v>
      </c>
      <c r="F8" s="6">
        <v>0.47</v>
      </c>
      <c r="G8" s="6">
        <v>0.43</v>
      </c>
      <c r="H8" s="6">
        <v>0.41</v>
      </c>
      <c r="I8" s="6">
        <v>0.38</v>
      </c>
      <c r="J8" s="6">
        <v>0.35</v>
      </c>
      <c r="K8" s="6">
        <v>0.34</v>
      </c>
    </row>
    <row r="9" spans="1:11" ht="15.5" x14ac:dyDescent="0.35">
      <c r="A9" s="1">
        <v>5</v>
      </c>
      <c r="B9" s="6">
        <v>0.7</v>
      </c>
      <c r="C9" s="6">
        <v>0.59</v>
      </c>
      <c r="D9" s="6">
        <v>0.53</v>
      </c>
      <c r="E9" s="6">
        <v>0.49</v>
      </c>
      <c r="F9" s="6">
        <v>0.4</v>
      </c>
      <c r="G9" s="6">
        <v>0.37</v>
      </c>
      <c r="H9" s="6">
        <v>0.35</v>
      </c>
      <c r="I9" s="6">
        <v>0.32</v>
      </c>
      <c r="J9" s="6">
        <v>0.3</v>
      </c>
      <c r="K9" s="6">
        <v>0.28999999999999998</v>
      </c>
    </row>
    <row r="10" spans="1:11" ht="15.5" x14ac:dyDescent="0.35">
      <c r="A10" s="1">
        <v>6</v>
      </c>
      <c r="B10" s="6">
        <v>0.62</v>
      </c>
      <c r="C10" s="6">
        <v>0.52</v>
      </c>
      <c r="D10" s="6">
        <v>0.47</v>
      </c>
      <c r="E10" s="6">
        <v>0.44</v>
      </c>
      <c r="F10" s="6">
        <v>0.36</v>
      </c>
      <c r="G10" s="6">
        <v>0.33</v>
      </c>
      <c r="H10" s="6">
        <v>0.31</v>
      </c>
      <c r="I10" s="6">
        <v>0.28000000000000003</v>
      </c>
      <c r="J10" s="6">
        <v>0.27</v>
      </c>
      <c r="K10" s="6">
        <v>0.25</v>
      </c>
    </row>
    <row r="11" spans="1:11" ht="15.5" x14ac:dyDescent="0.35">
      <c r="A11" s="1">
        <v>7</v>
      </c>
      <c r="B11" s="6">
        <v>0.56000000000000005</v>
      </c>
      <c r="C11" s="6">
        <v>0.48</v>
      </c>
      <c r="D11" s="6">
        <v>0.43</v>
      </c>
      <c r="E11" s="6">
        <v>0.4</v>
      </c>
      <c r="F11" s="6">
        <v>0.32</v>
      </c>
      <c r="G11" s="6">
        <v>0.3</v>
      </c>
      <c r="H11" s="6">
        <v>0.28000000000000003</v>
      </c>
      <c r="I11" s="6">
        <v>0.26</v>
      </c>
      <c r="J11" s="6">
        <v>0.24</v>
      </c>
      <c r="K11" s="6">
        <v>0.23</v>
      </c>
    </row>
    <row r="12" spans="1:11" ht="15.5" x14ac:dyDescent="0.35">
      <c r="A12" s="1">
        <v>8</v>
      </c>
      <c r="B12" s="6">
        <v>0.52</v>
      </c>
      <c r="C12" s="6">
        <v>0.44</v>
      </c>
      <c r="D12" s="6">
        <v>0.4</v>
      </c>
      <c r="E12" s="6">
        <v>0.37</v>
      </c>
      <c r="F12" s="6">
        <v>0.3</v>
      </c>
      <c r="G12" s="6">
        <v>0.27</v>
      </c>
      <c r="H12" s="6">
        <v>0.26</v>
      </c>
      <c r="I12" s="6">
        <v>0.24</v>
      </c>
      <c r="J12" s="6">
        <v>0.22</v>
      </c>
      <c r="K12" s="6">
        <v>0.21</v>
      </c>
    </row>
    <row r="13" spans="1:11" ht="15.5" x14ac:dyDescent="0.35">
      <c r="A13" s="1">
        <v>9</v>
      </c>
      <c r="B13" s="6">
        <v>0.48</v>
      </c>
      <c r="C13" s="6">
        <v>0.41</v>
      </c>
      <c r="D13" s="6">
        <v>0.37</v>
      </c>
      <c r="E13" s="6">
        <v>0.34</v>
      </c>
      <c r="F13" s="6">
        <v>0.28000000000000003</v>
      </c>
      <c r="G13" s="6">
        <v>0.26</v>
      </c>
      <c r="H13" s="6">
        <v>0.24</v>
      </c>
      <c r="I13" s="6">
        <v>0.22</v>
      </c>
      <c r="J13" s="6">
        <v>0.21</v>
      </c>
      <c r="K13" s="6">
        <v>0.2</v>
      </c>
    </row>
    <row r="14" spans="1:11" ht="15.5" x14ac:dyDescent="0.35">
      <c r="A14" s="1">
        <v>10</v>
      </c>
      <c r="B14" s="6">
        <v>0.46</v>
      </c>
      <c r="C14" s="6">
        <v>0.39</v>
      </c>
      <c r="D14" s="6">
        <v>0.35</v>
      </c>
      <c r="E14" s="6">
        <v>0.32</v>
      </c>
      <c r="F14" s="6">
        <v>0.26</v>
      </c>
      <c r="G14" s="6">
        <v>0.24</v>
      </c>
      <c r="H14" s="6">
        <v>0.23</v>
      </c>
      <c r="I14" s="6">
        <v>0.21</v>
      </c>
      <c r="J14" s="6">
        <v>0.2</v>
      </c>
      <c r="K14" s="6">
        <v>0.19</v>
      </c>
    </row>
    <row r="15" spans="1:11" ht="15.5" x14ac:dyDescent="0.35">
      <c r="A15" s="1">
        <v>11</v>
      </c>
      <c r="B15" s="6">
        <v>0.43</v>
      </c>
      <c r="C15" s="6">
        <v>0.37</v>
      </c>
      <c r="D15" s="6">
        <v>0.33</v>
      </c>
      <c r="E15" s="6">
        <v>0.31</v>
      </c>
      <c r="F15" s="6">
        <v>0.25</v>
      </c>
      <c r="G15" s="6">
        <v>0.23</v>
      </c>
      <c r="H15" s="6">
        <v>0.22</v>
      </c>
      <c r="I15" s="6">
        <v>0.2</v>
      </c>
      <c r="J15" s="6">
        <v>0.19</v>
      </c>
      <c r="K15" s="6">
        <v>0.18</v>
      </c>
    </row>
    <row r="16" spans="1:11" ht="15.5" x14ac:dyDescent="0.35">
      <c r="A16" s="1">
        <v>12</v>
      </c>
      <c r="B16" s="6">
        <v>0.41</v>
      </c>
      <c r="C16" s="6">
        <v>0.35</v>
      </c>
      <c r="D16" s="6">
        <v>0.32</v>
      </c>
      <c r="E16" s="6">
        <v>0.28999999999999998</v>
      </c>
      <c r="F16" s="6">
        <v>0.24</v>
      </c>
      <c r="G16" s="6">
        <v>0.22</v>
      </c>
      <c r="H16" s="6">
        <v>0.21</v>
      </c>
      <c r="I16" s="6">
        <v>0.19</v>
      </c>
      <c r="J16" s="6">
        <v>0.18</v>
      </c>
      <c r="K16" s="6">
        <v>0.17</v>
      </c>
    </row>
    <row r="17" spans="1:11" ht="15.5" x14ac:dyDescent="0.35">
      <c r="A17" s="1">
        <v>13</v>
      </c>
      <c r="B17" s="6">
        <v>0.39</v>
      </c>
      <c r="C17" s="6">
        <v>0.34</v>
      </c>
      <c r="D17" s="6">
        <v>0.3</v>
      </c>
      <c r="E17" s="6">
        <v>0.28000000000000003</v>
      </c>
      <c r="F17" s="6">
        <v>0.23</v>
      </c>
      <c r="G17" s="6">
        <v>0.21</v>
      </c>
      <c r="H17" s="6">
        <v>0.2</v>
      </c>
      <c r="I17" s="6">
        <v>0.18</v>
      </c>
      <c r="J17" s="6">
        <v>0.17</v>
      </c>
      <c r="K17" s="6">
        <v>0.16</v>
      </c>
    </row>
    <row r="18" spans="1:11" ht="15.5" x14ac:dyDescent="0.35">
      <c r="A18" s="1">
        <v>14</v>
      </c>
      <c r="B18" s="6">
        <v>0.38</v>
      </c>
      <c r="C18" s="6">
        <v>0.32</v>
      </c>
      <c r="D18" s="6">
        <v>0.28999999999999998</v>
      </c>
      <c r="E18" s="6">
        <v>0.27</v>
      </c>
      <c r="F18" s="6">
        <v>0.22</v>
      </c>
      <c r="G18" s="6">
        <v>0.2</v>
      </c>
      <c r="H18" s="6">
        <v>0.19</v>
      </c>
      <c r="I18" s="6">
        <v>0.17</v>
      </c>
      <c r="J18" s="6">
        <v>0.16</v>
      </c>
      <c r="K18" s="6">
        <v>0.16</v>
      </c>
    </row>
    <row r="19" spans="1:11" ht="15.5" x14ac:dyDescent="0.35">
      <c r="A19" s="3">
        <v>15</v>
      </c>
      <c r="B19" s="7">
        <v>0.36</v>
      </c>
      <c r="C19" s="7">
        <v>0.31</v>
      </c>
      <c r="D19" s="7">
        <v>0.28000000000000003</v>
      </c>
      <c r="E19" s="7">
        <v>0.26</v>
      </c>
      <c r="F19" s="7">
        <v>0.21</v>
      </c>
      <c r="G19" s="7">
        <v>0.19</v>
      </c>
      <c r="H19" s="7">
        <v>0.18</v>
      </c>
      <c r="I19" s="7">
        <v>0.17</v>
      </c>
      <c r="J19" s="7">
        <v>0.16</v>
      </c>
      <c r="K19" s="7">
        <v>0.15</v>
      </c>
    </row>
  </sheetData>
  <mergeCells count="1">
    <mergeCell ref="B4:K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C44DF-A1B2-4E58-8588-98A8645492CF}">
  <dimension ref="A1:K19"/>
  <sheetViews>
    <sheetView workbookViewId="0">
      <selection activeCell="A6" sqref="A6:K19"/>
    </sheetView>
  </sheetViews>
  <sheetFormatPr defaultRowHeight="14.5" x14ac:dyDescent="0.35"/>
  <sheetData>
    <row r="1" spans="1:11" x14ac:dyDescent="0.35">
      <c r="A1" t="s">
        <v>36</v>
      </c>
    </row>
    <row r="2" spans="1:11" x14ac:dyDescent="0.35">
      <c r="A2" t="s">
        <v>37</v>
      </c>
    </row>
    <row r="4" spans="1:11" ht="15.5" x14ac:dyDescent="0.35">
      <c r="A4" s="2"/>
      <c r="B4" s="18" t="s">
        <v>3</v>
      </c>
      <c r="C4" s="18"/>
      <c r="D4" s="18"/>
      <c r="E4" s="18"/>
      <c r="F4" s="18"/>
      <c r="G4" s="18"/>
      <c r="H4" s="18"/>
      <c r="I4" s="18"/>
      <c r="J4" s="18"/>
      <c r="K4" s="18"/>
    </row>
    <row r="5" spans="1:11" ht="15.5" x14ac:dyDescent="0.35">
      <c r="A5" s="4" t="s">
        <v>1</v>
      </c>
      <c r="B5" s="4">
        <v>10</v>
      </c>
      <c r="C5" s="4">
        <v>15</v>
      </c>
      <c r="D5" s="4">
        <v>20</v>
      </c>
      <c r="E5" s="4">
        <v>25</v>
      </c>
      <c r="F5" s="4">
        <v>50</v>
      </c>
      <c r="G5" s="4">
        <v>75</v>
      </c>
      <c r="H5" s="4">
        <v>100</v>
      </c>
      <c r="I5" s="4">
        <v>200</v>
      </c>
      <c r="J5" s="4">
        <v>500</v>
      </c>
      <c r="K5" s="19" t="s">
        <v>17</v>
      </c>
    </row>
    <row r="6" spans="1:11" ht="15.5" x14ac:dyDescent="0.35">
      <c r="A6" s="1">
        <v>2</v>
      </c>
      <c r="B6" s="6">
        <v>2.31</v>
      </c>
      <c r="C6" s="6">
        <v>2.09</v>
      </c>
      <c r="D6" s="6">
        <v>1.97</v>
      </c>
      <c r="E6" s="6">
        <v>1.89</v>
      </c>
      <c r="F6" s="6">
        <v>1.73</v>
      </c>
      <c r="G6" s="6">
        <v>1.67</v>
      </c>
      <c r="H6" s="6">
        <v>1.64</v>
      </c>
      <c r="I6" s="6">
        <v>1.6</v>
      </c>
      <c r="J6" s="6">
        <v>1.57</v>
      </c>
      <c r="K6" s="6">
        <v>1.55</v>
      </c>
    </row>
    <row r="7" spans="1:11" ht="15.5" x14ac:dyDescent="0.35">
      <c r="A7" s="1">
        <v>3</v>
      </c>
      <c r="B7" s="6">
        <v>1.26</v>
      </c>
      <c r="C7" s="6">
        <v>1.1399999999999999</v>
      </c>
      <c r="D7" s="6">
        <v>1.07</v>
      </c>
      <c r="E7" s="6">
        <v>1.03</v>
      </c>
      <c r="F7" s="6">
        <v>0.94</v>
      </c>
      <c r="G7" s="6">
        <v>0.91</v>
      </c>
      <c r="H7" s="6">
        <v>0.89</v>
      </c>
      <c r="I7" s="6">
        <v>0.87</v>
      </c>
      <c r="J7" s="6">
        <v>0.85</v>
      </c>
      <c r="K7" s="6">
        <v>0.84</v>
      </c>
    </row>
    <row r="8" spans="1:11" ht="15.5" x14ac:dyDescent="0.35">
      <c r="A8" s="1">
        <v>4</v>
      </c>
      <c r="B8" s="6">
        <v>0.97</v>
      </c>
      <c r="C8" s="6">
        <v>0.88</v>
      </c>
      <c r="D8" s="6">
        <v>0.83</v>
      </c>
      <c r="E8" s="6">
        <v>0.8</v>
      </c>
      <c r="F8" s="6">
        <v>0.73</v>
      </c>
      <c r="G8" s="6">
        <v>0.7</v>
      </c>
      <c r="H8" s="6">
        <v>0.69</v>
      </c>
      <c r="I8" s="6">
        <v>0.67</v>
      </c>
      <c r="J8" s="6">
        <v>0.66</v>
      </c>
      <c r="K8" s="6">
        <v>0.65</v>
      </c>
    </row>
    <row r="9" spans="1:11" ht="15.5" x14ac:dyDescent="0.35">
      <c r="A9" s="1">
        <v>5</v>
      </c>
      <c r="B9" s="6">
        <v>0.83</v>
      </c>
      <c r="C9" s="6">
        <v>0.75</v>
      </c>
      <c r="D9" s="6">
        <v>0.7</v>
      </c>
      <c r="E9" s="6">
        <v>0.68</v>
      </c>
      <c r="F9" s="6">
        <v>0.62</v>
      </c>
      <c r="G9" s="6">
        <v>0.6</v>
      </c>
      <c r="H9" s="6">
        <v>0.59</v>
      </c>
      <c r="I9" s="6">
        <v>0.56999999999999995</v>
      </c>
      <c r="J9" s="6">
        <v>0.56000000000000005</v>
      </c>
      <c r="K9" s="6">
        <v>0.56000000000000005</v>
      </c>
    </row>
    <row r="10" spans="1:11" ht="15.5" x14ac:dyDescent="0.35">
      <c r="A10" s="1">
        <v>6</v>
      </c>
      <c r="B10" s="6">
        <v>0.73</v>
      </c>
      <c r="C10" s="6">
        <v>0.66</v>
      </c>
      <c r="D10" s="6">
        <v>0.63</v>
      </c>
      <c r="E10" s="6">
        <v>0.6</v>
      </c>
      <c r="F10" s="6">
        <v>0.55000000000000004</v>
      </c>
      <c r="G10" s="6">
        <v>0.53</v>
      </c>
      <c r="H10" s="6">
        <v>0.52</v>
      </c>
      <c r="I10" s="6">
        <v>0.51</v>
      </c>
      <c r="J10" s="6">
        <v>0.5</v>
      </c>
      <c r="K10" s="6">
        <v>0.49</v>
      </c>
    </row>
    <row r="11" spans="1:11" ht="15.5" x14ac:dyDescent="0.35">
      <c r="A11" s="1">
        <v>7</v>
      </c>
      <c r="B11" s="6">
        <v>0.67</v>
      </c>
      <c r="C11" s="6">
        <v>0.6</v>
      </c>
      <c r="D11" s="6">
        <v>0.56999999999999995</v>
      </c>
      <c r="E11" s="6">
        <v>0.55000000000000004</v>
      </c>
      <c r="F11" s="6">
        <v>0.5</v>
      </c>
      <c r="G11" s="6">
        <v>0.48</v>
      </c>
      <c r="H11" s="6">
        <v>0.47</v>
      </c>
      <c r="I11" s="6">
        <v>0.46</v>
      </c>
      <c r="J11" s="6">
        <v>0.45</v>
      </c>
      <c r="K11" s="6">
        <v>0.45</v>
      </c>
    </row>
    <row r="12" spans="1:11" ht="15.5" x14ac:dyDescent="0.35">
      <c r="A12" s="1">
        <v>8</v>
      </c>
      <c r="B12" s="6">
        <v>0.62</v>
      </c>
      <c r="C12" s="6">
        <v>0.56000000000000005</v>
      </c>
      <c r="D12" s="6">
        <v>0.52</v>
      </c>
      <c r="E12" s="6">
        <v>0.5</v>
      </c>
      <c r="F12" s="6">
        <v>0.46</v>
      </c>
      <c r="G12" s="6">
        <v>0.45</v>
      </c>
      <c r="H12" s="6">
        <v>0.44</v>
      </c>
      <c r="I12" s="6">
        <v>0.43</v>
      </c>
      <c r="J12" s="6">
        <v>0.42</v>
      </c>
      <c r="K12" s="6">
        <v>0.41</v>
      </c>
    </row>
    <row r="13" spans="1:11" ht="15.5" x14ac:dyDescent="0.35">
      <c r="A13" s="1">
        <v>9</v>
      </c>
      <c r="B13" s="6">
        <v>0.57999999999999996</v>
      </c>
      <c r="C13" s="6">
        <v>0.52</v>
      </c>
      <c r="D13" s="6">
        <v>0.49</v>
      </c>
      <c r="E13" s="6">
        <v>0.47</v>
      </c>
      <c r="F13" s="6">
        <v>0.43</v>
      </c>
      <c r="G13" s="6">
        <v>0.42</v>
      </c>
      <c r="H13" s="6">
        <v>0.41</v>
      </c>
      <c r="I13" s="6">
        <v>0.4</v>
      </c>
      <c r="J13" s="6">
        <v>0.39</v>
      </c>
      <c r="K13" s="6">
        <v>0.39</v>
      </c>
    </row>
    <row r="14" spans="1:11" ht="15.5" x14ac:dyDescent="0.35">
      <c r="A14" s="1">
        <v>10</v>
      </c>
      <c r="B14" s="6">
        <v>0.54</v>
      </c>
      <c r="C14" s="6">
        <v>0.49</v>
      </c>
      <c r="D14" s="6">
        <v>0.46</v>
      </c>
      <c r="E14" s="6">
        <v>0.44</v>
      </c>
      <c r="F14" s="6">
        <v>0.41</v>
      </c>
      <c r="G14" s="6">
        <v>0.39</v>
      </c>
      <c r="H14" s="6">
        <v>0.38</v>
      </c>
      <c r="I14" s="6">
        <v>0.37</v>
      </c>
      <c r="J14" s="6">
        <v>0.37</v>
      </c>
      <c r="K14" s="6">
        <v>0.36</v>
      </c>
    </row>
    <row r="15" spans="1:11" ht="15.5" x14ac:dyDescent="0.35">
      <c r="A15" s="1">
        <v>11</v>
      </c>
      <c r="B15" s="6">
        <v>0.52</v>
      </c>
      <c r="C15" s="6">
        <v>0.46</v>
      </c>
      <c r="D15" s="6">
        <v>0.44</v>
      </c>
      <c r="E15" s="6">
        <v>0.42</v>
      </c>
      <c r="F15" s="6">
        <v>0.38</v>
      </c>
      <c r="G15" s="6">
        <v>0.37</v>
      </c>
      <c r="H15" s="6">
        <v>0.36</v>
      </c>
      <c r="I15" s="6">
        <v>0.35</v>
      </c>
      <c r="J15" s="6">
        <v>0.35</v>
      </c>
      <c r="K15" s="6">
        <v>0.34</v>
      </c>
    </row>
    <row r="16" spans="1:11" ht="15.5" x14ac:dyDescent="0.35">
      <c r="A16" s="1">
        <v>12</v>
      </c>
      <c r="B16" s="6">
        <v>0.49</v>
      </c>
      <c r="C16" s="6">
        <v>0.44</v>
      </c>
      <c r="D16" s="6">
        <v>0.42</v>
      </c>
      <c r="E16" s="6">
        <v>0.4</v>
      </c>
      <c r="F16" s="6">
        <v>0.37</v>
      </c>
      <c r="G16" s="6">
        <v>0.35</v>
      </c>
      <c r="H16" s="6">
        <v>0.35</v>
      </c>
      <c r="I16" s="6">
        <v>0.34</v>
      </c>
      <c r="J16" s="6">
        <v>0.33</v>
      </c>
      <c r="K16" s="6">
        <v>0.33</v>
      </c>
    </row>
    <row r="17" spans="1:11" ht="15.5" x14ac:dyDescent="0.35">
      <c r="A17" s="1">
        <v>13</v>
      </c>
      <c r="B17" s="6">
        <v>0.47</v>
      </c>
      <c r="C17" s="6">
        <v>0.42</v>
      </c>
      <c r="D17" s="6">
        <v>0.4</v>
      </c>
      <c r="E17" s="6">
        <v>0.38</v>
      </c>
      <c r="F17" s="6">
        <v>0.35</v>
      </c>
      <c r="G17" s="6">
        <v>0.34</v>
      </c>
      <c r="H17" s="6">
        <v>0.33</v>
      </c>
      <c r="I17" s="6">
        <v>0.32</v>
      </c>
      <c r="J17" s="6">
        <v>0.32</v>
      </c>
      <c r="K17" s="6">
        <v>0.31</v>
      </c>
    </row>
    <row r="18" spans="1:11" ht="15.5" x14ac:dyDescent="0.35">
      <c r="A18" s="1">
        <v>14</v>
      </c>
      <c r="B18" s="6">
        <v>0.45</v>
      </c>
      <c r="C18" s="6">
        <v>0.41</v>
      </c>
      <c r="D18" s="6">
        <v>0.38</v>
      </c>
      <c r="E18" s="6">
        <v>0.37</v>
      </c>
      <c r="F18" s="6">
        <v>0.34</v>
      </c>
      <c r="G18" s="6">
        <v>0.33</v>
      </c>
      <c r="H18" s="6">
        <v>0.32</v>
      </c>
      <c r="I18" s="6">
        <v>0.31</v>
      </c>
      <c r="J18" s="6">
        <v>0.3</v>
      </c>
      <c r="K18" s="6">
        <v>0.3</v>
      </c>
    </row>
    <row r="19" spans="1:11" ht="15.5" x14ac:dyDescent="0.35">
      <c r="A19" s="3">
        <v>15</v>
      </c>
      <c r="B19" s="7">
        <v>0.43</v>
      </c>
      <c r="C19" s="7">
        <v>0.39</v>
      </c>
      <c r="D19" s="7">
        <v>0.37</v>
      </c>
      <c r="E19" s="7">
        <v>0.35</v>
      </c>
      <c r="F19" s="7">
        <v>0.32</v>
      </c>
      <c r="G19" s="7">
        <v>0.31</v>
      </c>
      <c r="H19" s="7">
        <v>0.31</v>
      </c>
      <c r="I19" s="7">
        <v>0.3</v>
      </c>
      <c r="J19" s="7">
        <v>0.28999999999999998</v>
      </c>
      <c r="K19" s="7">
        <v>0.28999999999999998</v>
      </c>
    </row>
  </sheetData>
  <mergeCells count="1">
    <mergeCell ref="B4:K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798F5-D05B-4777-A46D-FF8E817CA292}">
  <dimension ref="A1:K19"/>
  <sheetViews>
    <sheetView workbookViewId="0">
      <selection activeCell="D22" sqref="D22"/>
    </sheetView>
  </sheetViews>
  <sheetFormatPr defaultRowHeight="14.5" x14ac:dyDescent="0.35"/>
  <sheetData>
    <row r="1" spans="1:11" x14ac:dyDescent="0.35">
      <c r="A1" t="s">
        <v>34</v>
      </c>
    </row>
    <row r="2" spans="1:11" x14ac:dyDescent="0.35">
      <c r="A2" t="s">
        <v>33</v>
      </c>
    </row>
    <row r="4" spans="1:11" ht="15.5" x14ac:dyDescent="0.35">
      <c r="A4" s="2"/>
      <c r="B4" s="18" t="s">
        <v>31</v>
      </c>
      <c r="C4" s="18"/>
      <c r="D4" s="18"/>
      <c r="E4" s="18"/>
      <c r="F4" s="18"/>
      <c r="G4" s="18"/>
      <c r="H4" s="18"/>
      <c r="I4" s="18"/>
      <c r="J4" s="18"/>
      <c r="K4" s="18"/>
    </row>
    <row r="5" spans="1:11" ht="15.5" x14ac:dyDescent="0.35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27</v>
      </c>
      <c r="I5" s="3" t="s">
        <v>28</v>
      </c>
      <c r="J5" s="3" t="s">
        <v>29</v>
      </c>
      <c r="K5" s="3" t="s">
        <v>30</v>
      </c>
    </row>
    <row r="6" spans="1:11" ht="15.5" x14ac:dyDescent="0.35">
      <c r="A6" s="1">
        <v>2</v>
      </c>
      <c r="B6" s="6">
        <v>1.38</v>
      </c>
      <c r="C6" s="6">
        <v>0.94799999999999995</v>
      </c>
      <c r="D6" s="6">
        <v>0.79500000000000004</v>
      </c>
      <c r="E6" s="6">
        <v>0.71799999999999997</v>
      </c>
      <c r="F6" s="6">
        <v>0.67100000000000004</v>
      </c>
      <c r="G6" s="6">
        <v>0.64</v>
      </c>
      <c r="H6" s="6">
        <v>0.56899999999999995</v>
      </c>
      <c r="I6" s="6">
        <v>0.54300000000000004</v>
      </c>
      <c r="J6" s="6">
        <v>0.52900000000000003</v>
      </c>
      <c r="K6" s="6">
        <v>0.52</v>
      </c>
    </row>
    <row r="7" spans="1:11" ht="15.5" x14ac:dyDescent="0.35">
      <c r="A7" s="1">
        <v>3</v>
      </c>
      <c r="B7" s="6">
        <v>0.75</v>
      </c>
      <c r="C7" s="6">
        <v>0.65500000000000003</v>
      </c>
      <c r="D7" s="6">
        <v>0.6</v>
      </c>
      <c r="E7" s="6">
        <v>0.56399999999999995</v>
      </c>
      <c r="F7" s="6">
        <v>0.53900000000000003</v>
      </c>
      <c r="G7" s="6">
        <v>0.52100000000000002</v>
      </c>
      <c r="H7" s="6">
        <v>0.47099999999999997</v>
      </c>
      <c r="I7" s="6">
        <v>0.45</v>
      </c>
      <c r="J7" s="6">
        <v>0.438</v>
      </c>
      <c r="K7" s="6">
        <v>0.43</v>
      </c>
    </row>
    <row r="8" spans="1:11" ht="15.5" x14ac:dyDescent="0.35">
      <c r="A8" s="1">
        <v>4</v>
      </c>
      <c r="B8" s="6">
        <v>0.58099999999999996</v>
      </c>
      <c r="C8" s="6">
        <v>0.53600000000000003</v>
      </c>
      <c r="D8" s="6">
        <v>0.504</v>
      </c>
      <c r="E8" s="6">
        <v>0.48199999999999998</v>
      </c>
      <c r="F8" s="6">
        <v>0.46500000000000002</v>
      </c>
      <c r="G8" s="6">
        <v>0.45200000000000001</v>
      </c>
      <c r="H8" s="6">
        <v>0.41299999999999998</v>
      </c>
      <c r="I8" s="6">
        <v>0.39500000000000002</v>
      </c>
      <c r="J8" s="6">
        <v>0.38400000000000001</v>
      </c>
      <c r="K8" s="6">
        <v>0.377</v>
      </c>
    </row>
    <row r="9" spans="1:11" ht="15.5" x14ac:dyDescent="0.35">
      <c r="A9" s="1">
        <v>5</v>
      </c>
      <c r="B9" s="6">
        <v>0.49399999999999999</v>
      </c>
      <c r="C9" s="6">
        <v>0.46600000000000003</v>
      </c>
      <c r="D9" s="6">
        <v>0.44500000000000001</v>
      </c>
      <c r="E9" s="6">
        <v>0.42899999999999999</v>
      </c>
      <c r="F9" s="6">
        <v>0.41599999999999998</v>
      </c>
      <c r="G9" s="6">
        <v>0.40500000000000003</v>
      </c>
      <c r="H9" s="6">
        <v>0.374</v>
      </c>
      <c r="I9" s="6">
        <v>0.35699999999999998</v>
      </c>
      <c r="J9" s="6">
        <v>0.34699999999999998</v>
      </c>
      <c r="K9" s="6">
        <v>0.34100000000000003</v>
      </c>
    </row>
    <row r="10" spans="1:11" ht="15.5" x14ac:dyDescent="0.35">
      <c r="A10" s="1">
        <v>6</v>
      </c>
      <c r="B10" s="6">
        <v>0.438</v>
      </c>
      <c r="C10" s="6">
        <v>0.41799999999999998</v>
      </c>
      <c r="D10" s="6">
        <v>0.40300000000000002</v>
      </c>
      <c r="E10" s="6">
        <v>0.39</v>
      </c>
      <c r="F10" s="6">
        <v>0.38</v>
      </c>
      <c r="G10" s="6">
        <v>0.372</v>
      </c>
      <c r="H10" s="6">
        <v>0.34399999999999997</v>
      </c>
      <c r="I10" s="6">
        <v>0.33</v>
      </c>
      <c r="J10" s="6">
        <v>0.32</v>
      </c>
      <c r="K10" s="6">
        <v>0.314</v>
      </c>
    </row>
    <row r="11" spans="1:11" ht="15.5" x14ac:dyDescent="0.35">
      <c r="A11" s="1">
        <v>7</v>
      </c>
      <c r="B11" s="6">
        <v>0.39900000000000002</v>
      </c>
      <c r="C11" s="6">
        <v>0.38300000000000001</v>
      </c>
      <c r="D11" s="6">
        <v>0.371</v>
      </c>
      <c r="E11" s="6">
        <v>0.36099999999999999</v>
      </c>
      <c r="F11" s="6">
        <v>0.35199999999999998</v>
      </c>
      <c r="G11" s="6">
        <v>0.34499999999999997</v>
      </c>
      <c r="H11" s="6">
        <v>0.32200000000000001</v>
      </c>
      <c r="I11" s="6">
        <v>0.308</v>
      </c>
      <c r="J11" s="6">
        <v>0.29899999999999999</v>
      </c>
      <c r="K11" s="6">
        <v>0.29299999999999998</v>
      </c>
    </row>
    <row r="12" spans="1:11" ht="15.5" x14ac:dyDescent="0.35">
      <c r="A12" s="1">
        <v>8</v>
      </c>
      <c r="B12" s="6">
        <v>0.36799999999999999</v>
      </c>
      <c r="C12" s="6">
        <v>0.35599999999999998</v>
      </c>
      <c r="D12" s="6">
        <v>0.34599999999999997</v>
      </c>
      <c r="E12" s="6">
        <v>0.33700000000000002</v>
      </c>
      <c r="F12" s="6">
        <v>0.33</v>
      </c>
      <c r="G12" s="6">
        <v>0.32400000000000001</v>
      </c>
      <c r="H12" s="6">
        <v>0.30299999999999999</v>
      </c>
      <c r="I12" s="6">
        <v>0.29099999999999998</v>
      </c>
      <c r="J12" s="6">
        <v>0.28299999999999997</v>
      </c>
      <c r="K12" s="6">
        <v>0.27700000000000002</v>
      </c>
    </row>
    <row r="13" spans="1:11" ht="15.5" x14ac:dyDescent="0.35">
      <c r="A13" s="1">
        <v>9</v>
      </c>
      <c r="B13" s="6">
        <v>0.34399999999999997</v>
      </c>
      <c r="C13" s="6">
        <v>0.33400000000000002</v>
      </c>
      <c r="D13" s="6">
        <v>0.32500000000000001</v>
      </c>
      <c r="E13" s="6">
        <v>0.318</v>
      </c>
      <c r="F13" s="6">
        <v>0.312</v>
      </c>
      <c r="G13" s="6">
        <v>0.307</v>
      </c>
      <c r="H13" s="6">
        <v>0.28799999999999998</v>
      </c>
      <c r="I13" s="6">
        <v>0.27600000000000002</v>
      </c>
      <c r="J13" s="6">
        <v>0.26800000000000002</v>
      </c>
      <c r="K13" s="6">
        <v>0.26300000000000001</v>
      </c>
    </row>
    <row r="14" spans="1:11" ht="15.5" x14ac:dyDescent="0.35">
      <c r="A14" s="1">
        <v>10</v>
      </c>
      <c r="B14" s="6">
        <v>0.32400000000000001</v>
      </c>
      <c r="C14" s="6">
        <v>0.315</v>
      </c>
      <c r="D14" s="6">
        <v>0.308</v>
      </c>
      <c r="E14" s="6">
        <v>0.30199999999999999</v>
      </c>
      <c r="F14" s="6">
        <v>0.29699999999999999</v>
      </c>
      <c r="G14" s="6">
        <v>0.29199999999999998</v>
      </c>
      <c r="H14" s="6">
        <v>0.27500000000000002</v>
      </c>
      <c r="I14" s="6">
        <v>0.26400000000000001</v>
      </c>
      <c r="J14" s="6">
        <v>0.25700000000000001</v>
      </c>
      <c r="K14" s="6">
        <v>0.251</v>
      </c>
    </row>
    <row r="15" spans="1:11" ht="15.5" x14ac:dyDescent="0.35">
      <c r="A15" s="1">
        <v>11</v>
      </c>
      <c r="B15" s="6">
        <v>0.307</v>
      </c>
      <c r="C15" s="6">
        <v>0.3</v>
      </c>
      <c r="D15" s="6">
        <v>0.29299999999999998</v>
      </c>
      <c r="E15" s="6">
        <v>0.28799999999999998</v>
      </c>
      <c r="F15" s="6">
        <v>0.28299999999999997</v>
      </c>
      <c r="G15" s="6">
        <v>0.27900000000000003</v>
      </c>
      <c r="H15" s="6">
        <v>0.26300000000000001</v>
      </c>
      <c r="I15" s="6">
        <v>0.253</v>
      </c>
      <c r="J15" s="6">
        <v>0.246</v>
      </c>
      <c r="K15" s="6">
        <v>0.24099999999999999</v>
      </c>
    </row>
    <row r="16" spans="1:11" ht="15.5" x14ac:dyDescent="0.35">
      <c r="A16" s="1">
        <v>12</v>
      </c>
      <c r="B16" s="6">
        <v>0.29199999999999998</v>
      </c>
      <c r="C16" s="6">
        <v>0.28599999999999998</v>
      </c>
      <c r="D16" s="6">
        <v>0.28100000000000003</v>
      </c>
      <c r="E16" s="6">
        <v>0.27600000000000002</v>
      </c>
      <c r="F16" s="6">
        <v>0.27200000000000002</v>
      </c>
      <c r="G16" s="6">
        <v>0.26800000000000002</v>
      </c>
      <c r="H16" s="6">
        <v>0.253</v>
      </c>
      <c r="I16" s="6">
        <v>0.24399999999999999</v>
      </c>
      <c r="J16" s="6">
        <v>0.23699999999999999</v>
      </c>
      <c r="K16" s="6">
        <v>0.23200000000000001</v>
      </c>
    </row>
    <row r="17" spans="1:11" ht="15.5" x14ac:dyDescent="0.35">
      <c r="A17" s="1">
        <v>13</v>
      </c>
      <c r="B17" s="6">
        <v>0.28000000000000003</v>
      </c>
      <c r="C17" s="6">
        <v>0.27400000000000002</v>
      </c>
      <c r="D17" s="6">
        <v>0.27</v>
      </c>
      <c r="E17" s="6">
        <v>0.26500000000000001</v>
      </c>
      <c r="F17" s="6">
        <v>0.26100000000000001</v>
      </c>
      <c r="G17" s="6">
        <v>0.25800000000000001</v>
      </c>
      <c r="H17" s="6">
        <v>0.245</v>
      </c>
      <c r="I17" s="6">
        <v>0.23599999999999999</v>
      </c>
      <c r="J17" s="6">
        <v>0.22900000000000001</v>
      </c>
      <c r="K17" s="6">
        <v>0.224</v>
      </c>
    </row>
    <row r="18" spans="1:11" ht="15.5" x14ac:dyDescent="0.35">
      <c r="A18" s="1">
        <v>14</v>
      </c>
      <c r="B18" s="6">
        <v>0.26900000000000002</v>
      </c>
      <c r="C18" s="6">
        <v>0.26400000000000001</v>
      </c>
      <c r="D18" s="6">
        <v>0.26</v>
      </c>
      <c r="E18" s="6">
        <v>0.25600000000000001</v>
      </c>
      <c r="F18" s="6">
        <v>0.252</v>
      </c>
      <c r="G18" s="6">
        <v>0.249</v>
      </c>
      <c r="H18" s="6">
        <v>0.23699999999999999</v>
      </c>
      <c r="I18" s="6">
        <v>0.22800000000000001</v>
      </c>
      <c r="J18" s="6">
        <v>0.222</v>
      </c>
      <c r="K18" s="6">
        <v>0.218</v>
      </c>
    </row>
    <row r="19" spans="1:11" ht="15.5" x14ac:dyDescent="0.35">
      <c r="A19" s="3">
        <v>15</v>
      </c>
      <c r="B19" s="7">
        <v>0.25900000000000001</v>
      </c>
      <c r="C19" s="7">
        <v>0.255</v>
      </c>
      <c r="D19" s="7">
        <v>0.251</v>
      </c>
      <c r="E19" s="7">
        <v>0.247</v>
      </c>
      <c r="F19" s="7">
        <v>0.24399999999999999</v>
      </c>
      <c r="G19" s="7">
        <v>0.24099999999999999</v>
      </c>
      <c r="H19" s="7">
        <v>0.23</v>
      </c>
      <c r="I19" s="7">
        <v>0.222</v>
      </c>
      <c r="J19" s="7">
        <v>0.216</v>
      </c>
      <c r="K19" s="7">
        <v>0.21099999999999999</v>
      </c>
    </row>
  </sheetData>
  <mergeCells count="1">
    <mergeCell ref="B4:K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F20C3-F033-4ADB-B53A-CBA9E8CBA4CD}">
  <dimension ref="A1:K19"/>
  <sheetViews>
    <sheetView tabSelected="1" workbookViewId="0">
      <selection activeCell="I26" sqref="I26"/>
    </sheetView>
  </sheetViews>
  <sheetFormatPr defaultRowHeight="14.5" x14ac:dyDescent="0.35"/>
  <sheetData>
    <row r="1" spans="1:11" x14ac:dyDescent="0.35">
      <c r="A1" t="s">
        <v>38</v>
      </c>
    </row>
    <row r="2" spans="1:11" x14ac:dyDescent="0.35">
      <c r="A2" t="s">
        <v>35</v>
      </c>
    </row>
    <row r="4" spans="1:11" ht="15.5" x14ac:dyDescent="0.35">
      <c r="A4" s="2"/>
      <c r="B4" s="18" t="s">
        <v>31</v>
      </c>
      <c r="C4" s="18"/>
      <c r="D4" s="18"/>
      <c r="E4" s="18"/>
      <c r="F4" s="18"/>
      <c r="G4" s="18"/>
      <c r="H4" s="18"/>
      <c r="I4" s="18"/>
      <c r="J4" s="18"/>
      <c r="K4" s="18"/>
    </row>
    <row r="5" spans="1:11" ht="15.5" x14ac:dyDescent="0.35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27</v>
      </c>
      <c r="I5" s="3" t="s">
        <v>28</v>
      </c>
      <c r="J5" s="3" t="s">
        <v>29</v>
      </c>
      <c r="K5" s="3" t="s">
        <v>30</v>
      </c>
    </row>
    <row r="6" spans="1:11" ht="15.5" x14ac:dyDescent="0.35">
      <c r="A6" s="1">
        <v>2</v>
      </c>
      <c r="B6" s="6">
        <v>1.4159999999999999</v>
      </c>
      <c r="C6" s="6">
        <v>0.97299999999999998</v>
      </c>
      <c r="D6" s="6">
        <v>0.81599999999999995</v>
      </c>
      <c r="E6" s="6">
        <v>0.73599999999999999</v>
      </c>
      <c r="F6" s="6">
        <v>0.68899999999999995</v>
      </c>
      <c r="G6" s="6">
        <v>0.65700000000000003</v>
      </c>
      <c r="H6" s="6">
        <v>0.58399999999999996</v>
      </c>
      <c r="I6" s="6">
        <v>0.55700000000000005</v>
      </c>
      <c r="J6" s="6">
        <v>0.54200000000000004</v>
      </c>
      <c r="K6" s="6">
        <v>0.53400000000000003</v>
      </c>
    </row>
    <row r="7" spans="1:11" ht="15.5" x14ac:dyDescent="0.35">
      <c r="A7" s="1">
        <v>3</v>
      </c>
      <c r="B7" s="6">
        <v>0.76900000000000002</v>
      </c>
      <c r="C7" s="6">
        <v>0.67200000000000004</v>
      </c>
      <c r="D7" s="6">
        <v>0.61599999999999999</v>
      </c>
      <c r="E7" s="6">
        <v>0.57899999999999996</v>
      </c>
      <c r="F7" s="6">
        <v>0.55300000000000005</v>
      </c>
      <c r="G7" s="6">
        <v>0.53400000000000003</v>
      </c>
      <c r="H7" s="6">
        <v>0.48399999999999999</v>
      </c>
      <c r="I7" s="6">
        <v>0.46200000000000002</v>
      </c>
      <c r="J7" s="6">
        <v>0.44900000000000001</v>
      </c>
      <c r="K7" s="6">
        <v>0.441</v>
      </c>
    </row>
    <row r="8" spans="1:11" ht="15.5" x14ac:dyDescent="0.35">
      <c r="A8" s="1">
        <v>4</v>
      </c>
      <c r="B8" s="6">
        <v>0.59599999999999997</v>
      </c>
      <c r="C8" s="6">
        <v>0.55000000000000004</v>
      </c>
      <c r="D8" s="6">
        <v>0.51800000000000002</v>
      </c>
      <c r="E8" s="6">
        <v>0.495</v>
      </c>
      <c r="F8" s="6">
        <v>0.47699999999999998</v>
      </c>
      <c r="G8" s="6">
        <v>0.46400000000000002</v>
      </c>
      <c r="H8" s="6">
        <v>0.42399999999999999</v>
      </c>
      <c r="I8" s="6">
        <v>0.40500000000000003</v>
      </c>
      <c r="J8" s="6">
        <v>0.39400000000000002</v>
      </c>
      <c r="K8" s="6">
        <v>0.38700000000000001</v>
      </c>
    </row>
    <row r="9" spans="1:11" ht="15.5" x14ac:dyDescent="0.35">
      <c r="A9" s="1">
        <v>5</v>
      </c>
      <c r="B9" s="6">
        <v>0.50700000000000001</v>
      </c>
      <c r="C9" s="6">
        <v>0.47799999999999998</v>
      </c>
      <c r="D9" s="6">
        <v>0.45600000000000002</v>
      </c>
      <c r="E9" s="6">
        <v>0.44</v>
      </c>
      <c r="F9" s="6">
        <v>0.42699999999999999</v>
      </c>
      <c r="G9" s="6">
        <v>0.41599999999999998</v>
      </c>
      <c r="H9" s="6">
        <v>0.38300000000000001</v>
      </c>
      <c r="I9" s="6">
        <v>0.36699999999999999</v>
      </c>
      <c r="J9" s="6">
        <v>0.35599999999999998</v>
      </c>
      <c r="K9" s="6">
        <v>0.35</v>
      </c>
    </row>
    <row r="10" spans="1:11" ht="15.5" x14ac:dyDescent="0.35">
      <c r="A10" s="1">
        <v>6</v>
      </c>
      <c r="B10" s="6">
        <v>0.45</v>
      </c>
      <c r="C10" s="6">
        <v>0.42899999999999999</v>
      </c>
      <c r="D10" s="6">
        <v>0.41299999999999998</v>
      </c>
      <c r="E10" s="6">
        <v>0.4</v>
      </c>
      <c r="F10" s="6">
        <v>0.39</v>
      </c>
      <c r="G10" s="6">
        <v>0.38100000000000001</v>
      </c>
      <c r="H10" s="6">
        <v>0.35299999999999998</v>
      </c>
      <c r="I10" s="6">
        <v>0.33800000000000002</v>
      </c>
      <c r="J10" s="6">
        <v>0.32900000000000001</v>
      </c>
      <c r="K10" s="6">
        <v>0.32200000000000001</v>
      </c>
    </row>
    <row r="11" spans="1:11" ht="15.5" x14ac:dyDescent="0.35">
      <c r="A11" s="1">
        <v>7</v>
      </c>
      <c r="B11" s="6">
        <v>0.40899999999999997</v>
      </c>
      <c r="C11" s="6">
        <v>0.39300000000000002</v>
      </c>
      <c r="D11" s="6">
        <v>0.38100000000000001</v>
      </c>
      <c r="E11" s="6">
        <v>0.37</v>
      </c>
      <c r="F11" s="6">
        <v>0.36199999999999999</v>
      </c>
      <c r="G11" s="6">
        <v>0.35399999999999998</v>
      </c>
      <c r="H11" s="6">
        <v>0.33</v>
      </c>
      <c r="I11" s="6">
        <v>0.316</v>
      </c>
      <c r="J11" s="6">
        <v>0.307</v>
      </c>
      <c r="K11" s="6">
        <v>0.30099999999999999</v>
      </c>
    </row>
    <row r="12" spans="1:11" ht="15.5" x14ac:dyDescent="0.35">
      <c r="A12" s="1">
        <v>8</v>
      </c>
      <c r="B12" s="6">
        <v>0.378</v>
      </c>
      <c r="C12" s="6">
        <v>0.36499999999999999</v>
      </c>
      <c r="D12" s="6">
        <v>0.35499999999999998</v>
      </c>
      <c r="E12" s="6">
        <v>0.34599999999999997</v>
      </c>
      <c r="F12" s="6">
        <v>0.33900000000000002</v>
      </c>
      <c r="G12" s="6">
        <v>0.33300000000000002</v>
      </c>
      <c r="H12" s="6">
        <v>0.311</v>
      </c>
      <c r="I12" s="6">
        <v>0.29799999999999999</v>
      </c>
      <c r="J12" s="6">
        <v>0.28999999999999998</v>
      </c>
      <c r="K12" s="6">
        <v>0.28399999999999997</v>
      </c>
    </row>
    <row r="13" spans="1:11" ht="15.5" x14ac:dyDescent="0.35">
      <c r="A13" s="1">
        <v>9</v>
      </c>
      <c r="B13" s="6">
        <v>0.35299999999999998</v>
      </c>
      <c r="C13" s="6">
        <v>0.34200000000000003</v>
      </c>
      <c r="D13" s="6">
        <v>0.33400000000000002</v>
      </c>
      <c r="E13" s="6">
        <v>0.32700000000000001</v>
      </c>
      <c r="F13" s="6">
        <v>0.32</v>
      </c>
      <c r="G13" s="6">
        <v>0.315</v>
      </c>
      <c r="H13" s="6">
        <v>0.29499999999999998</v>
      </c>
      <c r="I13" s="6">
        <v>0.28299999999999997</v>
      </c>
      <c r="J13" s="6">
        <v>0.27600000000000002</v>
      </c>
      <c r="K13" s="6">
        <v>0.27</v>
      </c>
    </row>
    <row r="14" spans="1:11" ht="15.5" x14ac:dyDescent="0.35">
      <c r="A14" s="1">
        <v>10</v>
      </c>
      <c r="B14" s="6">
        <v>0.33200000000000002</v>
      </c>
      <c r="C14" s="6">
        <v>0.32400000000000001</v>
      </c>
      <c r="D14" s="6">
        <v>0.316</v>
      </c>
      <c r="E14" s="6">
        <v>0.31</v>
      </c>
      <c r="F14" s="6">
        <v>0.30399999999999999</v>
      </c>
      <c r="G14" s="6">
        <v>0.29899999999999999</v>
      </c>
      <c r="H14" s="6">
        <v>0.28199999999999997</v>
      </c>
      <c r="I14" s="6">
        <v>0.27100000000000002</v>
      </c>
      <c r="J14" s="6">
        <v>0.26300000000000001</v>
      </c>
      <c r="K14" s="6">
        <v>0.25800000000000001</v>
      </c>
    </row>
    <row r="15" spans="1:11" ht="15.5" x14ac:dyDescent="0.35">
      <c r="A15" s="1">
        <v>11</v>
      </c>
      <c r="B15" s="6">
        <v>0.315</v>
      </c>
      <c r="C15" s="6">
        <v>0.308</v>
      </c>
      <c r="D15" s="6">
        <v>0.30099999999999999</v>
      </c>
      <c r="E15" s="6">
        <v>0.29599999999999999</v>
      </c>
      <c r="F15" s="6">
        <v>0.29099999999999998</v>
      </c>
      <c r="G15" s="6">
        <v>0.28599999999999998</v>
      </c>
      <c r="H15" s="6">
        <v>0.27</v>
      </c>
      <c r="I15" s="6">
        <v>0.26</v>
      </c>
      <c r="J15" s="6">
        <v>0.253</v>
      </c>
      <c r="K15" s="6">
        <v>0.247</v>
      </c>
    </row>
    <row r="16" spans="1:11" ht="15.5" x14ac:dyDescent="0.35">
      <c r="A16" s="1">
        <v>12</v>
      </c>
      <c r="B16" s="6">
        <v>0.3</v>
      </c>
      <c r="C16" s="6">
        <v>0.29399999999999998</v>
      </c>
      <c r="D16" s="6">
        <v>0.28799999999999998</v>
      </c>
      <c r="E16" s="6">
        <v>0.28299999999999997</v>
      </c>
      <c r="F16" s="6">
        <v>0.27900000000000003</v>
      </c>
      <c r="G16" s="6">
        <v>0.27500000000000002</v>
      </c>
      <c r="H16" s="6">
        <v>0.26</v>
      </c>
      <c r="I16" s="6">
        <v>0.25</v>
      </c>
      <c r="J16" s="6">
        <v>0.24399999999999999</v>
      </c>
      <c r="K16" s="6">
        <v>0.23799999999999999</v>
      </c>
    </row>
    <row r="17" spans="1:11" ht="15.5" x14ac:dyDescent="0.35">
      <c r="A17" s="1">
        <v>13</v>
      </c>
      <c r="B17" s="6">
        <v>0.28699999999999998</v>
      </c>
      <c r="C17" s="6">
        <v>0.28199999999999997</v>
      </c>
      <c r="D17" s="6">
        <v>0.27700000000000002</v>
      </c>
      <c r="E17" s="6">
        <v>0.27200000000000002</v>
      </c>
      <c r="F17" s="6">
        <v>0.26800000000000002</v>
      </c>
      <c r="G17" s="6">
        <v>0.26500000000000001</v>
      </c>
      <c r="H17" s="6">
        <v>0.251</v>
      </c>
      <c r="I17" s="6">
        <v>0.24199999999999999</v>
      </c>
      <c r="J17" s="6">
        <v>0.23499999999999999</v>
      </c>
      <c r="K17" s="6">
        <v>0.23</v>
      </c>
    </row>
    <row r="18" spans="1:11" ht="15.5" x14ac:dyDescent="0.35">
      <c r="A18" s="1">
        <v>14</v>
      </c>
      <c r="B18" s="6">
        <v>0.27600000000000002</v>
      </c>
      <c r="C18" s="6">
        <v>0.27100000000000002</v>
      </c>
      <c r="D18" s="6">
        <v>0.26600000000000001</v>
      </c>
      <c r="E18" s="6">
        <v>0.26200000000000001</v>
      </c>
      <c r="F18" s="6">
        <v>0.25900000000000001</v>
      </c>
      <c r="G18" s="6">
        <v>0.25600000000000001</v>
      </c>
      <c r="H18" s="6">
        <v>0.24299999999999999</v>
      </c>
      <c r="I18" s="6">
        <v>0.23400000000000001</v>
      </c>
      <c r="J18" s="6">
        <v>0.22800000000000001</v>
      </c>
      <c r="K18" s="6">
        <v>0.223</v>
      </c>
    </row>
    <row r="19" spans="1:11" ht="15.5" x14ac:dyDescent="0.35">
      <c r="A19" s="3">
        <v>15</v>
      </c>
      <c r="B19" s="7">
        <v>0.26600000000000001</v>
      </c>
      <c r="C19" s="7">
        <v>0.26100000000000001</v>
      </c>
      <c r="D19" s="7">
        <v>0.25700000000000001</v>
      </c>
      <c r="E19" s="7">
        <v>0.254</v>
      </c>
      <c r="F19" s="7">
        <v>0.25</v>
      </c>
      <c r="G19" s="7">
        <v>0.247</v>
      </c>
      <c r="H19" s="7">
        <v>0.23599999999999999</v>
      </c>
      <c r="I19" s="7">
        <v>0.22700000000000001</v>
      </c>
      <c r="J19" s="7">
        <v>0.221</v>
      </c>
      <c r="K19" s="7">
        <v>0.217</v>
      </c>
    </row>
  </sheetData>
  <mergeCells count="1">
    <mergeCell ref="B4:K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A9949-C43E-4AC7-B697-F1B8FD3961FF}">
  <dimension ref="B6:F18"/>
  <sheetViews>
    <sheetView workbookViewId="0">
      <selection activeCell="C16" sqref="C16"/>
    </sheetView>
  </sheetViews>
  <sheetFormatPr defaultRowHeight="14.5" x14ac:dyDescent="0.35"/>
  <sheetData>
    <row r="6" spans="2:6" x14ac:dyDescent="0.35">
      <c r="B6" t="s">
        <v>1</v>
      </c>
      <c r="C6" t="s">
        <v>3</v>
      </c>
      <c r="D6" t="s">
        <v>9</v>
      </c>
      <c r="E6" t="s">
        <v>2</v>
      </c>
      <c r="F6" t="s">
        <v>10</v>
      </c>
    </row>
    <row r="7" spans="2:6" x14ac:dyDescent="0.35">
      <c r="B7">
        <v>5</v>
      </c>
      <c r="C7" s="17" t="s">
        <v>11</v>
      </c>
      <c r="D7">
        <v>0.05</v>
      </c>
      <c r="E7">
        <v>0.5</v>
      </c>
      <c r="F7">
        <f>B7*E7^2/(2*D7)</f>
        <v>12.5</v>
      </c>
    </row>
    <row r="8" spans="2:6" x14ac:dyDescent="0.35">
      <c r="B8">
        <v>5</v>
      </c>
      <c r="C8">
        <v>25</v>
      </c>
      <c r="D8">
        <v>0.05</v>
      </c>
      <c r="E8">
        <v>0.5</v>
      </c>
      <c r="F8">
        <f>B8*C8*E8^2/(2*(1+(C8-1)*D8))</f>
        <v>7.1022727272727266</v>
      </c>
    </row>
    <row r="9" spans="2:6" x14ac:dyDescent="0.35">
      <c r="B9">
        <v>5</v>
      </c>
      <c r="C9">
        <v>25</v>
      </c>
      <c r="D9">
        <v>0.05</v>
      </c>
      <c r="E9">
        <v>0.5</v>
      </c>
      <c r="F9">
        <f t="shared" ref="F9:F18" si="0">B9*C9*E9^2/(2*(1+(C9-1)*D9))</f>
        <v>7.1022727272727266</v>
      </c>
    </row>
    <row r="10" spans="2:6" x14ac:dyDescent="0.35">
      <c r="B10">
        <v>5</v>
      </c>
      <c r="C10">
        <v>30</v>
      </c>
      <c r="D10">
        <v>0.05</v>
      </c>
      <c r="E10">
        <v>0.5</v>
      </c>
      <c r="F10">
        <f t="shared" si="0"/>
        <v>7.6530612244897958</v>
      </c>
    </row>
    <row r="11" spans="2:6" x14ac:dyDescent="0.35">
      <c r="B11">
        <v>5</v>
      </c>
      <c r="C11">
        <v>50</v>
      </c>
      <c r="D11">
        <v>0.05</v>
      </c>
      <c r="E11">
        <v>0.5</v>
      </c>
      <c r="F11">
        <f t="shared" si="0"/>
        <v>9.0579710144927539</v>
      </c>
    </row>
    <row r="12" spans="2:6" x14ac:dyDescent="0.35">
      <c r="B12">
        <v>5</v>
      </c>
      <c r="C12">
        <v>100</v>
      </c>
      <c r="D12">
        <v>0.05</v>
      </c>
      <c r="E12">
        <v>0.5</v>
      </c>
      <c r="F12">
        <f t="shared" si="0"/>
        <v>10.504201680672269</v>
      </c>
    </row>
    <row r="13" spans="2:6" x14ac:dyDescent="0.35">
      <c r="B13">
        <v>5</v>
      </c>
      <c r="C13">
        <v>200</v>
      </c>
      <c r="D13">
        <v>0.05</v>
      </c>
      <c r="E13">
        <v>0.5</v>
      </c>
      <c r="F13">
        <f t="shared" si="0"/>
        <v>11.415525114155249</v>
      </c>
    </row>
    <row r="14" spans="2:6" x14ac:dyDescent="0.35">
      <c r="B14">
        <v>5</v>
      </c>
      <c r="C14">
        <v>500</v>
      </c>
      <c r="D14">
        <v>0.05</v>
      </c>
      <c r="E14">
        <v>0.5</v>
      </c>
      <c r="F14">
        <f t="shared" si="0"/>
        <v>12.042389210019266</v>
      </c>
    </row>
    <row r="15" spans="2:6" x14ac:dyDescent="0.35">
      <c r="B15">
        <v>5</v>
      </c>
      <c r="C15">
        <v>1000</v>
      </c>
      <c r="D15">
        <v>0.05</v>
      </c>
      <c r="E15">
        <v>0.5</v>
      </c>
      <c r="F15">
        <f t="shared" si="0"/>
        <v>12.266928361138371</v>
      </c>
    </row>
    <row r="16" spans="2:6" x14ac:dyDescent="0.35">
      <c r="B16">
        <v>5</v>
      </c>
      <c r="C16">
        <v>25</v>
      </c>
      <c r="D16">
        <v>0.05</v>
      </c>
      <c r="E16">
        <v>0.5</v>
      </c>
      <c r="F16">
        <f t="shared" si="0"/>
        <v>7.1022727272727266</v>
      </c>
    </row>
    <row r="17" spans="2:6" x14ac:dyDescent="0.35">
      <c r="B17">
        <v>5</v>
      </c>
      <c r="C17">
        <v>25</v>
      </c>
      <c r="D17">
        <v>0.05</v>
      </c>
      <c r="E17">
        <v>0.5</v>
      </c>
      <c r="F17">
        <f t="shared" si="0"/>
        <v>7.1022727272727266</v>
      </c>
    </row>
    <row r="18" spans="2:6" x14ac:dyDescent="0.35">
      <c r="B18">
        <v>5</v>
      </c>
      <c r="C18">
        <v>25</v>
      </c>
      <c r="D18">
        <v>0.05</v>
      </c>
      <c r="E18">
        <v>0.5</v>
      </c>
      <c r="F18">
        <f t="shared" si="0"/>
        <v>7.1022727272727266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Table 1</vt:lpstr>
      <vt:lpstr>Table 2</vt:lpstr>
      <vt:lpstr>Table 3</vt:lpstr>
      <vt:lpstr>Table 4</vt:lpstr>
      <vt:lpstr>Table A1</vt:lpstr>
      <vt:lpstr>Table A2</vt:lpstr>
      <vt:lpstr>Table A3</vt:lpstr>
      <vt:lpstr>Table A4</vt:lpstr>
      <vt:lpstr>Table A5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</dc:creator>
  <cp:lastModifiedBy>Larry</cp:lastModifiedBy>
  <dcterms:created xsi:type="dcterms:W3CDTF">2020-11-12T23:07:02Z</dcterms:created>
  <dcterms:modified xsi:type="dcterms:W3CDTF">2020-11-15T21:02:13Z</dcterms:modified>
</cp:coreProperties>
</file>