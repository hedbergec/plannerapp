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Papers/Paper.QEDs/Apps/plannerApp/support materials/"/>
    </mc:Choice>
  </mc:AlternateContent>
  <xr:revisionPtr revIDLastSave="0" documentId="13_ncr:1_{D05F0C12-F702-A34B-930A-5EB5E0F2644F}" xr6:coauthVersionLast="47" xr6:coauthVersionMax="47" xr10:uidLastSave="{00000000-0000-0000-0000-000000000000}"/>
  <bookViews>
    <workbookView xWindow="0" yWindow="500" windowWidth="28800" windowHeight="16260" tabRatio="716" activeTab="6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3" i="1"/>
  <c r="A10" i="11"/>
  <c r="A8" i="11"/>
  <c r="A7" i="11"/>
  <c r="A6" i="11"/>
  <c r="A5" i="11"/>
  <c r="A4" i="11"/>
  <c r="A3" i="11"/>
  <c r="R9" i="1"/>
  <c r="R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H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J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K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L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M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N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O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R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S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U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<sst xmlns="http://schemas.openxmlformats.org/spreadsheetml/2006/main" count="315" uniqueCount="188">
  <si>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</si>
  <si>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</si>
  <si>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</si>
  <si>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</si>
  <si>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</si>
  <si>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</si>
  <si>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</si>
  <si>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</si>
  <si>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</si>
  <si>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</si>
  <si>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</si>
  <si>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</si>
  <si>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</si>
  <si>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</si>
  <si>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</si>
  <si>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</si>
  <si>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</si>
  <si>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</si>
  <si>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</si>
  <si>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</si>
  <si>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</si>
  <si>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</si>
  <si>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</si>
  <si>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</si>
  <si>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</si>
  <si>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</si>
  <si>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</si>
  <si>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</si>
  <si>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</si>
  <si>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</si>
  <si>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</si>
  <si>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</si>
  <si>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</si>
  <si>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</si>
  <si>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</si>
  <si>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</si>
  <si>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</si>
  <si>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</si>
  <si>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</si>
  <si>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</si>
  <si>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</si>
  <si>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</si>
  <si>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</si>
  <si>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</si>
  <si>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</si>
  <si>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</si>
  <si>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</si>
  <si>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</si>
  <si>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</si>
  <si>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</si>
  <si>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</si>
  <si>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</si>
  <si>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</si>
  <si>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</si>
  <si>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</si>
  <si>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</si>
  <si>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</si>
  <si>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</si>
  <si>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</si>
  <si>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</si>
  <si>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</si>
  <si>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</si>
  <si>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</si>
  <si>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</si>
  <si>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</si>
  <si>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</si>
  <si>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</si>
  <si>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</si>
  <si>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</si>
  <si>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</si>
  <si>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</si>
  <si>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</si>
  <si>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</si>
  <si>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</si>
  <si>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</si>
  <si>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</si>
  <si>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</si>
  <si>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</si>
  <si>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</si>
  <si>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</si>
  <si>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</si>
  <si>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</si>
  <si>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</si>
  <si>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</si>
  <si>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</si>
  <si>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</si>
  <si>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</si>
  <si>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</si>
  <si>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</si>
  <si>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</si>
  <si>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</si>
  <si>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</si>
  <si>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</si>
  <si>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</si>
  <si>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</si>
  <si>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</si>
  <si>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</si>
  <si>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</si>
  <si>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</si>
  <si>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</si>
  <si>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</si>
  <si>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</si>
  <si>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</si>
  <si>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</si>
  <si>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</si>
  <si>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</si>
  <si>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</si>
  <si>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</si>
  <si>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</si>
  <si>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</si>
  <si>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</si>
  <si>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Blocked Random Assignment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</si>
  <si>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</si>
  <si>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</si>
  <si>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</si>
  <si>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</si>
  <si>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</si>
  <si>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</si>
  <si>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</si>
  <si>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</si>
  <si>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</si>
  <si>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</si>
  <si>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Number of intervention group blocks</t>
  </si>
  <si>
    <t>Number of comparison group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</si>
  <si>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</si>
  <si>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</si>
  <si>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</si>
  <si>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</si>
  <si>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</si>
  <si>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</si>
  <si>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individuals per  block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</si>
  <si>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</si>
  <si>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</si>
  <si>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</si>
  <si>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</si>
  <si>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</si>
  <si>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</si>
  <si>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</si>
  <si>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</si>
  <si>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</si>
  <si>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</si>
  <si>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</si>
  <si>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</si>
  <si>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</si>
  <si>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</si>
  <si>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</si>
  <si>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</si>
  <si>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</si>
  <si>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</si>
  <si>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</si>
  <si>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</si>
  <si>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</si>
  <si>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</si>
  <si>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</si>
  <si>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</si>
  <si>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</si>
  <si>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</si>
  <si>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</si>
  <si>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</si>
  <si>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</si>
  <si>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</si>
  <si>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</si>
  <si>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</si>
  <si>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</si>
  <si>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</si>
  <si>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</si>
  <si>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</si>
  <si>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Blocked Randomized with Cluster Assignment</t>
  </si>
  <si>
    <t>k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</si>
  <si>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</si>
  <si>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</si>
  <si>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</si>
  <si>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</si>
  <si>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</si>
  <si>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</si>
  <si>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</si>
  <si>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</si>
  <si>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</si>
  <si>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</si>
  <si>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</si>
  <si>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</si>
  <si>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df &lt;- k-1</t>
  </si>
  <si>
    <t>N &lt;- k*(mt+mc)*n</t>
  </si>
  <si>
    <t>V &lt;- k*m*n*p*(1-p)*(1/(1+(n-1)*icc))</t>
  </si>
  <si>
    <t>df &lt;- k-1-q</t>
  </si>
  <si>
    <t>V &lt;- k*m*n*p*(1-p)*(1/(1+(n-1)*icc-(R2_1+(n*R2_2-R2_1)*icc)))</t>
  </si>
  <si>
    <t>#expression 30 in Hedges and Rhoads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</si>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</sst>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0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1-07-10T01:04:10.84" personId="{65A658BA-1FAC-4714-A260-E36CAA09F76D}" id="{0713FE03-72D3-4E97-9C1A-4F35BCE26CD6}">
    <text>which desings use which inputs?</text>
  </threadedComment>
  <threadedComment ref="J1" dT="2021-07-10T01:04:37.05" personId="{65A658BA-1FAC-4714-A260-E36CAA09F76D}" id="{C16FA29C-DF1E-443B-B6F4-2B0EAF1F7A79}">
    <text>which inference sets use which inputs?</text>
  </threadedComment>
  <threadedComment ref="K1" dT="2021-07-10T00:55:47.10" personId="{65A658BA-1FAC-4714-A260-E36CAA09F76D}" id="{56996333-72A8-4807-9F7B-A26D365E50ED}">
    <text>used in no-covariate models?</text>
  </threadedComment>
  <threadedComment ref="L1" dT="2021-07-10T00:55:19.43" personId="{65A658BA-1FAC-4714-A260-E36CAA09F76D}" id="{1242266B-8183-4A71-810B-FA35C112B92A}">
    <text>used in covariate models</text>
  </threadedComment>
  <threadedComment ref="M1" dT="2021-07-10T00:55:08.33" personId="{65A658BA-1FAC-4714-A260-E36CAA09F76D}" id="{AC5243D4-8E3B-4184-AF1F-518836A7A975}">
    <text>used to compute total sample size?</text>
  </threadedComment>
  <threadedComment ref="N1" dT="2021-07-10T00:54:10.24" personId="{65A658BA-1FAC-4714-A260-E36CAA09F76D}" id="{721899ED-7FCC-4F2B-BB22-844D27DA8843}">
    <text>used to compute df?</text>
  </threadedComment>
  <threadedComment ref="O1" dT="2021-07-10T00:53:59.73" personId="{65A658BA-1FAC-4714-A260-E36CAA09F76D}" id="{53AAC73E-37CD-4F93-952F-58532973ACC7}">
    <text>Used in Variance Factor?</text>
  </threadedComment>
  <threadedComment ref="R1" dT="2021-07-10T00:53:45.02" personId="{65A658BA-1FAC-4714-A260-E36CAA09F76D}" id="{404E6D2E-D072-435D-810D-184FE609405B}">
    <text>Default Value</text>
  </threadedComment>
  <threadedComment ref="S1" dT="2021-07-10T00:53:30.43" personId="{65A658BA-1FAC-4714-A260-E36CAA09F76D}" id="{1DE218DE-31C8-4B3E-95DD-574166043541}">
    <text>Not used yet, but made with excel formula</text>
  </threadedComment>
  <threadedComment ref="U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8"/>
  <sheetViews>
    <sheetView workbookViewId="0">
      <selection activeCell="A5" sqref="A5"/>
    </sheetView>
  </sheetViews>
  <sheetFormatPr baseColWidth="10" defaultColWidth="8.83203125" defaultRowHeight="15" x14ac:dyDescent="0.2"/>
  <cols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113</v>
      </c>
      <c r="C2" t="b">
        <v>1</v>
      </c>
    </row>
    <row r="3" spans="1:4" x14ac:dyDescent="0.2">
      <c r="A3" t="s">
        <v>8</v>
      </c>
      <c r="B3" t="s">
        <v>111</v>
      </c>
      <c r="C3" t="b">
        <v>1</v>
      </c>
    </row>
    <row r="4" spans="1:4" x14ac:dyDescent="0.2">
      <c r="A4" t="s">
        <v>9</v>
      </c>
      <c r="B4" t="s">
        <v>112</v>
      </c>
      <c r="C4" t="b">
        <v>1</v>
      </c>
    </row>
    <row r="5" spans="1:4" x14ac:dyDescent="0.2">
      <c r="A5" t="s">
        <v>166</v>
      </c>
      <c r="B5" t="s">
        <v>167</v>
      </c>
      <c r="C5" t="b">
        <v>1</v>
      </c>
    </row>
    <row r="6" spans="1:4" x14ac:dyDescent="0.2">
      <c r="A6" t="s">
        <v>10</v>
      </c>
      <c r="B6" t="s">
        <v>145</v>
      </c>
      <c r="D6" t="b">
        <v>0</v>
      </c>
    </row>
    <row r="7" spans="1:4" x14ac:dyDescent="0.2">
      <c r="A7" t="s">
        <v>11</v>
      </c>
      <c r="B7" t="s">
        <v>146</v>
      </c>
      <c r="D7" t="b">
        <v>0</v>
      </c>
    </row>
    <row r="8" spans="1:4" x14ac:dyDescent="0.2">
      <c r="A8" t="s">
        <v>93</v>
      </c>
      <c r="B8" t="s">
        <v>147</v>
      </c>
      <c r="D8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I3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15" bestFit="1" customWidth="1"/>
    <col min="3" max="3" width="5.1640625" customWidth="1"/>
  </cols>
  <sheetData>
    <row r="1" spans="1:9" x14ac:dyDescent="0.2">
      <c r="A1" t="s">
        <v>12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13</v>
      </c>
      <c r="B2" t="s">
        <v>14</v>
      </c>
      <c r="C2" t="b">
        <v>1</v>
      </c>
      <c r="D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15</v>
      </c>
      <c r="B3" t="s">
        <v>16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I3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9" x14ac:dyDescent="0.2">
      <c r="A1" t="s">
        <v>17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18</v>
      </c>
      <c r="B2" t="s">
        <v>114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19</v>
      </c>
      <c r="B3" t="s">
        <v>115</v>
      </c>
      <c r="C3" t="b">
        <v>1</v>
      </c>
      <c r="D3" t="b">
        <v>1</v>
      </c>
      <c r="E3" t="b">
        <v>1</v>
      </c>
      <c r="F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I4"/>
  <sheetViews>
    <sheetView workbookViewId="0">
      <selection activeCell="F1" sqref="F1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9" x14ac:dyDescent="0.2">
      <c r="A1" t="s">
        <v>20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</row>
    <row r="4" spans="1:9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B16"/>
  <sheetViews>
    <sheetView tabSelected="1" workbookViewId="0">
      <pane xSplit="1" topLeftCell="B1" activePane="topRight" state="frozen"/>
      <selection pane="topRight" activeCell="R15" sqref="R15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3" width="8" style="1" bestFit="1" customWidth="1"/>
    <col min="4" max="4" width="9.33203125" style="1" bestFit="1" customWidth="1"/>
    <col min="5" max="7" width="5.33203125" style="1" bestFit="1" customWidth="1"/>
    <col min="8" max="8" width="5.33203125" style="1" customWidth="1"/>
    <col min="9" max="10" width="7.83203125" style="1" bestFit="1" customWidth="1"/>
    <col min="11" max="11" width="10" style="1" bestFit="1" customWidth="1"/>
    <col min="12" max="12" width="9.1640625" style="1" bestFit="1" customWidth="1"/>
    <col min="13" max="15" width="7.83203125" style="1" customWidth="1"/>
    <col min="16" max="17" width="9.1640625" style="1" customWidth="1"/>
    <col min="18" max="18" width="14.33203125" style="1" bestFit="1" customWidth="1"/>
    <col min="19" max="19" width="14.6640625" style="1" bestFit="1" customWidth="1"/>
    <col min="20" max="21" width="14.6640625" style="1" customWidth="1"/>
    <col min="22" max="24" width="49.33203125" style="1" bestFit="1" customWidth="1"/>
    <col min="25" max="25" width="49.33203125" style="1" customWidth="1"/>
    <col min="26" max="27" width="55.33203125" style="1" bestFit="1" customWidth="1"/>
    <col min="28" max="16384" width="9.1640625" style="1"/>
  </cols>
  <sheetData>
    <row r="1" spans="1:28" x14ac:dyDescent="0.2">
      <c r="A1" s="1" t="s">
        <v>27</v>
      </c>
      <c r="B1" s="1" t="s">
        <v>7</v>
      </c>
      <c r="C1" s="1" t="s">
        <v>8</v>
      </c>
      <c r="D1" s="1" t="s">
        <v>9</v>
      </c>
      <c r="E1" s="1" t="s">
        <v>166</v>
      </c>
      <c r="F1" s="1" t="s">
        <v>10</v>
      </c>
      <c r="G1" s="1" t="s">
        <v>11</v>
      </c>
      <c r="H1" s="1" t="s">
        <v>93</v>
      </c>
      <c r="I1" s="1" t="s">
        <v>13</v>
      </c>
      <c r="J1" s="1" t="s">
        <v>15</v>
      </c>
      <c r="K1" s="1" t="s">
        <v>18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28</v>
      </c>
      <c r="Q1" s="1" t="s">
        <v>29</v>
      </c>
      <c r="R1" s="1" t="s">
        <v>31</v>
      </c>
      <c r="S1" s="1" t="s">
        <v>30</v>
      </c>
      <c r="T1" s="1" t="s">
        <v>165</v>
      </c>
      <c r="U1" s="1" t="s">
        <v>164</v>
      </c>
      <c r="V1" s="1" t="s">
        <v>32</v>
      </c>
      <c r="W1" s="1" t="s">
        <v>33</v>
      </c>
      <c r="X1" s="1" t="s">
        <v>34</v>
      </c>
      <c r="Y1" s="1" t="s">
        <v>169</v>
      </c>
      <c r="Z1" s="1" t="s">
        <v>35</v>
      </c>
      <c r="AA1" s="1" t="s">
        <v>36</v>
      </c>
      <c r="AB1" s="1" t="s">
        <v>94</v>
      </c>
    </row>
    <row r="2" spans="1:28" x14ac:dyDescent="0.2">
      <c r="A2" s="1" t="s">
        <v>168</v>
      </c>
      <c r="E2" s="1" t="b">
        <v>1</v>
      </c>
      <c r="I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>
        <v>3</v>
      </c>
      <c r="Q2" s="1">
        <v>40</v>
      </c>
      <c r="R2" s="1">
        <v>3</v>
      </c>
      <c r="S2" s="1" t="str">
        <f>_xlfn.CONCAT("c(",P2,",",Q2,")")</f>
        <v>c(3,40)</v>
      </c>
      <c r="T2" s="1">
        <v>1</v>
      </c>
      <c r="U2" s="1">
        <v>1</v>
      </c>
      <c r="Y2" s="1" t="s">
        <v>121</v>
      </c>
    </row>
    <row r="3" spans="1:28" x14ac:dyDescent="0.2">
      <c r="A3" s="1" t="s">
        <v>37</v>
      </c>
      <c r="C3" s="1" t="b">
        <v>1</v>
      </c>
      <c r="F3" s="1" t="b">
        <v>1</v>
      </c>
      <c r="I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>
        <v>4</v>
      </c>
      <c r="Q3" s="1">
        <v>40</v>
      </c>
      <c r="R3" s="1">
        <v>10</v>
      </c>
      <c r="S3" s="1" t="str">
        <f>_xlfn.CONCAT("c(",P3,",",Q3,")")</f>
        <v>c(4,40)</v>
      </c>
      <c r="T3" s="1">
        <v>1</v>
      </c>
      <c r="U3" s="1">
        <v>1</v>
      </c>
      <c r="W3" s="1" t="s">
        <v>121</v>
      </c>
      <c r="X3" s="1" t="s">
        <v>126</v>
      </c>
      <c r="Z3" s="1" t="s">
        <v>140</v>
      </c>
      <c r="AA3" s="1" t="s">
        <v>140</v>
      </c>
    </row>
    <row r="4" spans="1:28" x14ac:dyDescent="0.2">
      <c r="A4" s="1" t="s">
        <v>38</v>
      </c>
      <c r="D4" s="1" t="b">
        <v>1</v>
      </c>
      <c r="E4" s="1" t="b">
        <v>1</v>
      </c>
      <c r="G4" s="1" t="b">
        <v>1</v>
      </c>
      <c r="I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>
        <v>2</v>
      </c>
      <c r="Q4" s="1">
        <v>40</v>
      </c>
      <c r="R4" s="1">
        <v>3</v>
      </c>
      <c r="S4" s="1" t="str">
        <f t="shared" ref="S4:S16" si="0">_xlfn.CONCAT("c(",P4,",",Q4,")")</f>
        <v>c(2,40)</v>
      </c>
      <c r="T4" s="1">
        <v>1</v>
      </c>
      <c r="U4" s="1">
        <v>1</v>
      </c>
      <c r="W4" s="1" t="s">
        <v>122</v>
      </c>
      <c r="X4" s="1" t="s">
        <v>127</v>
      </c>
      <c r="Y4" s="1" t="s">
        <v>170</v>
      </c>
      <c r="Z4" s="1" t="s">
        <v>116</v>
      </c>
      <c r="AA4" s="1" t="s">
        <v>116</v>
      </c>
    </row>
    <row r="5" spans="1:28" x14ac:dyDescent="0.2">
      <c r="A5" s="1" t="s">
        <v>39</v>
      </c>
      <c r="D5" s="1" t="b">
        <v>1</v>
      </c>
      <c r="E5" s="1" t="b">
        <v>1</v>
      </c>
      <c r="G5" s="1" t="b">
        <v>1</v>
      </c>
      <c r="I5" s="1" t="b">
        <v>1</v>
      </c>
      <c r="J5" s="1" t="b">
        <v>1</v>
      </c>
      <c r="K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>
        <v>2</v>
      </c>
      <c r="Q5" s="1">
        <v>40</v>
      </c>
      <c r="R5" s="1">
        <v>3</v>
      </c>
      <c r="S5" s="1" t="str">
        <f t="shared" si="0"/>
        <v>c(2,40)</v>
      </c>
      <c r="T5" s="1">
        <v>1</v>
      </c>
      <c r="U5" s="1">
        <v>1</v>
      </c>
      <c r="W5" s="1" t="s">
        <v>123</v>
      </c>
      <c r="X5" s="1" t="s">
        <v>128</v>
      </c>
      <c r="Y5" s="1" t="s">
        <v>171</v>
      </c>
      <c r="Z5" s="1" t="s">
        <v>117</v>
      </c>
      <c r="AA5" s="1" t="s">
        <v>117</v>
      </c>
    </row>
    <row r="6" spans="1:28" x14ac:dyDescent="0.2">
      <c r="A6" s="1" t="s">
        <v>40</v>
      </c>
      <c r="D6" s="1" t="b">
        <v>1</v>
      </c>
      <c r="E6" s="1" t="b">
        <v>1</v>
      </c>
      <c r="I6" s="1" t="b">
        <v>1</v>
      </c>
      <c r="J6" s="1" t="b">
        <v>1</v>
      </c>
      <c r="K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>
        <v>4</v>
      </c>
      <c r="Q6" s="1">
        <v>150</v>
      </c>
      <c r="R6" s="1">
        <v>30</v>
      </c>
      <c r="S6" s="1" t="str">
        <f t="shared" si="0"/>
        <v>c(4,150)</v>
      </c>
      <c r="T6" s="1">
        <v>1</v>
      </c>
      <c r="U6" s="1">
        <v>1</v>
      </c>
      <c r="W6" s="1" t="s">
        <v>130</v>
      </c>
      <c r="X6" s="1" t="s">
        <v>129</v>
      </c>
      <c r="Y6" s="1" t="s">
        <v>172</v>
      </c>
      <c r="Z6" s="1" t="s">
        <v>141</v>
      </c>
      <c r="AA6" s="1" t="s">
        <v>141</v>
      </c>
    </row>
    <row r="7" spans="1:28" x14ac:dyDescent="0.2">
      <c r="A7" s="1" t="s">
        <v>41</v>
      </c>
      <c r="B7" s="1" t="b">
        <v>1</v>
      </c>
      <c r="C7" s="1" t="b">
        <v>1</v>
      </c>
      <c r="H7" s="1" t="b">
        <v>1</v>
      </c>
      <c r="I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>
        <v>2</v>
      </c>
      <c r="Q7" s="1">
        <v>150</v>
      </c>
      <c r="R7" s="1">
        <v>20</v>
      </c>
      <c r="S7" s="1" t="str">
        <f t="shared" si="0"/>
        <v>c(2,150)</v>
      </c>
      <c r="T7" s="1">
        <v>1</v>
      </c>
      <c r="U7" s="1">
        <v>1</v>
      </c>
      <c r="V7" s="1" t="s">
        <v>118</v>
      </c>
      <c r="W7" s="1" t="s">
        <v>132</v>
      </c>
      <c r="X7" s="1" t="s">
        <v>133</v>
      </c>
      <c r="Z7" s="1" t="s">
        <v>142</v>
      </c>
      <c r="AA7" s="1" t="s">
        <v>142</v>
      </c>
      <c r="AB7" s="1" t="s">
        <v>144</v>
      </c>
    </row>
    <row r="8" spans="1:28" x14ac:dyDescent="0.2">
      <c r="A8" s="1" t="s">
        <v>42</v>
      </c>
      <c r="B8" s="1" t="b">
        <v>1</v>
      </c>
      <c r="C8" s="1" t="b">
        <v>1</v>
      </c>
      <c r="H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>
        <v>2</v>
      </c>
      <c r="Q8" s="1">
        <v>150</v>
      </c>
      <c r="R8" s="1">
        <v>20</v>
      </c>
      <c r="S8" s="1" t="str">
        <f t="shared" si="0"/>
        <v>c(2,150)</v>
      </c>
      <c r="T8" s="1">
        <v>1</v>
      </c>
      <c r="U8" s="1">
        <v>1</v>
      </c>
      <c r="V8" s="1" t="s">
        <v>119</v>
      </c>
      <c r="W8" s="1" t="s">
        <v>131</v>
      </c>
      <c r="X8" s="1" t="s">
        <v>134</v>
      </c>
      <c r="Z8" s="1" t="s">
        <v>143</v>
      </c>
      <c r="AA8" s="1" t="s">
        <v>143</v>
      </c>
      <c r="AB8" s="1" t="s">
        <v>119</v>
      </c>
    </row>
    <row r="9" spans="1:28" x14ac:dyDescent="0.2">
      <c r="A9" s="1" t="s">
        <v>43</v>
      </c>
      <c r="F9" s="1" t="b">
        <v>1</v>
      </c>
      <c r="G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>
        <v>2</v>
      </c>
      <c r="Q9" s="1">
        <v>100</v>
      </c>
      <c r="R9" s="1">
        <f>P9+2</f>
        <v>4</v>
      </c>
      <c r="S9" s="1" t="str">
        <f t="shared" si="0"/>
        <v>c(2,100)</v>
      </c>
      <c r="T9" s="1">
        <v>1</v>
      </c>
      <c r="U9" s="1">
        <v>1</v>
      </c>
      <c r="W9" s="1" t="s">
        <v>135</v>
      </c>
      <c r="X9" s="1" t="s">
        <v>135</v>
      </c>
      <c r="Z9" s="1" t="s">
        <v>135</v>
      </c>
      <c r="AA9" s="1" t="s">
        <v>135</v>
      </c>
    </row>
    <row r="10" spans="1:28" x14ac:dyDescent="0.2">
      <c r="A10" s="1" t="s">
        <v>44</v>
      </c>
      <c r="F10" s="1" t="b">
        <v>1</v>
      </c>
      <c r="G10" s="1" t="b">
        <v>1</v>
      </c>
      <c r="I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>
        <v>2</v>
      </c>
      <c r="Q10" s="1">
        <v>100</v>
      </c>
      <c r="R10" s="1">
        <f>P10+2</f>
        <v>4</v>
      </c>
      <c r="S10" s="1" t="str">
        <f t="shared" si="0"/>
        <v>c(2,100)</v>
      </c>
      <c r="T10" s="1">
        <v>1</v>
      </c>
      <c r="U10" s="1">
        <v>1</v>
      </c>
      <c r="W10" s="1" t="s">
        <v>136</v>
      </c>
      <c r="X10" s="1" t="s">
        <v>136</v>
      </c>
      <c r="Z10" s="1" t="s">
        <v>136</v>
      </c>
      <c r="AA10" s="1" t="s">
        <v>136</v>
      </c>
    </row>
    <row r="11" spans="1:28" x14ac:dyDescent="0.2">
      <c r="A11" s="1" t="s">
        <v>45</v>
      </c>
      <c r="C11" s="1" t="b">
        <v>1</v>
      </c>
      <c r="D11" s="1" t="b">
        <v>1</v>
      </c>
      <c r="E11" s="1" t="b">
        <v>1</v>
      </c>
      <c r="F11" s="1" t="b">
        <v>1</v>
      </c>
      <c r="G11" s="1" t="b">
        <v>1</v>
      </c>
      <c r="I11" s="1" t="b">
        <v>1</v>
      </c>
      <c r="J11" s="1" t="b">
        <v>1</v>
      </c>
      <c r="K11" s="1" t="b">
        <v>1</v>
      </c>
      <c r="L11" s="1" t="b">
        <v>1</v>
      </c>
      <c r="O11" s="1" t="b">
        <v>1</v>
      </c>
      <c r="P11" s="1">
        <v>0.01</v>
      </c>
      <c r="Q11" s="1">
        <v>0.2</v>
      </c>
      <c r="R11" s="1">
        <v>0.1</v>
      </c>
      <c r="S11" s="1" t="str">
        <f t="shared" si="0"/>
        <v>c(0.01,0.2)</v>
      </c>
      <c r="T11" s="1">
        <v>0.01</v>
      </c>
      <c r="U11" s="1">
        <v>0.01</v>
      </c>
      <c r="W11" s="1" t="s">
        <v>124</v>
      </c>
      <c r="X11" s="1" t="s">
        <v>124</v>
      </c>
      <c r="Y11" s="1" t="s">
        <v>173</v>
      </c>
      <c r="Z11" s="1" t="s">
        <v>124</v>
      </c>
      <c r="AA11" s="1" t="s">
        <v>124</v>
      </c>
    </row>
    <row r="12" spans="1:28" x14ac:dyDescent="0.2">
      <c r="A12" s="1" t="s">
        <v>46</v>
      </c>
      <c r="B12" s="1" t="b">
        <v>1</v>
      </c>
      <c r="C12" s="1" t="b">
        <v>1</v>
      </c>
      <c r="D12" s="1" t="b">
        <v>1</v>
      </c>
      <c r="E12" s="1" t="b">
        <v>1</v>
      </c>
      <c r="I12" s="1" t="b">
        <v>1</v>
      </c>
      <c r="J12" s="1" t="b">
        <v>1</v>
      </c>
      <c r="L12" s="1" t="b">
        <v>1</v>
      </c>
      <c r="O12" s="1" t="b">
        <v>1</v>
      </c>
      <c r="P12" s="1">
        <v>0</v>
      </c>
      <c r="Q12" s="1">
        <v>0.99</v>
      </c>
      <c r="R12" s="1">
        <v>0.2</v>
      </c>
      <c r="S12" s="1" t="str">
        <f t="shared" si="0"/>
        <v>c(0,0.99)</v>
      </c>
      <c r="T12" s="1">
        <v>0.01</v>
      </c>
      <c r="U12" s="1">
        <v>0.01</v>
      </c>
      <c r="V12" s="1" t="s">
        <v>120</v>
      </c>
      <c r="W12" s="1" t="s">
        <v>125</v>
      </c>
      <c r="X12" s="1" t="s">
        <v>125</v>
      </c>
      <c r="Y12" s="1" t="s">
        <v>125</v>
      </c>
      <c r="Z12" s="1" t="s">
        <v>125</v>
      </c>
      <c r="AA12" s="1" t="s">
        <v>125</v>
      </c>
    </row>
    <row r="13" spans="1:28" x14ac:dyDescent="0.2">
      <c r="A13" s="1" t="s">
        <v>47</v>
      </c>
      <c r="C13" s="1" t="b">
        <v>1</v>
      </c>
      <c r="D13" s="1" t="b">
        <v>1</v>
      </c>
      <c r="E13" s="1" t="b">
        <v>1</v>
      </c>
      <c r="I13" s="1" t="b">
        <v>1</v>
      </c>
      <c r="J13" s="1" t="b">
        <v>1</v>
      </c>
      <c r="L13" s="1" t="b">
        <v>1</v>
      </c>
      <c r="O13" s="1" t="b">
        <v>1</v>
      </c>
      <c r="P13" s="1">
        <v>0</v>
      </c>
      <c r="Q13" s="1">
        <v>0.99</v>
      </c>
      <c r="R13" s="1">
        <v>0.2</v>
      </c>
      <c r="S13" s="1" t="str">
        <f t="shared" si="0"/>
        <v>c(0,0.99)</v>
      </c>
      <c r="T13" s="1">
        <v>0.01</v>
      </c>
      <c r="U13" s="1">
        <v>0.01</v>
      </c>
      <c r="W13" s="1" t="s">
        <v>52</v>
      </c>
      <c r="X13" s="1" t="s">
        <v>137</v>
      </c>
      <c r="Y13" s="1" t="s">
        <v>174</v>
      </c>
      <c r="Z13" s="3" t="s">
        <v>138</v>
      </c>
      <c r="AA13" s="3" t="s">
        <v>138</v>
      </c>
    </row>
    <row r="14" spans="1:28" x14ac:dyDescent="0.2">
      <c r="A14" s="1" t="s">
        <v>48</v>
      </c>
      <c r="F14" s="1" t="b">
        <v>1</v>
      </c>
      <c r="G14" s="1" t="b">
        <v>1</v>
      </c>
      <c r="H14" s="1" t="b">
        <v>1</v>
      </c>
      <c r="I14" s="1" t="b">
        <v>1</v>
      </c>
      <c r="J14" s="1" t="b">
        <v>1</v>
      </c>
      <c r="K14" s="1" t="b">
        <v>1</v>
      </c>
      <c r="L14" s="1" t="b">
        <v>1</v>
      </c>
      <c r="O14" s="1" t="b">
        <v>1</v>
      </c>
      <c r="P14" s="1">
        <v>0</v>
      </c>
      <c r="Q14" s="1">
        <v>0.99</v>
      </c>
      <c r="R14" s="1">
        <v>0.25</v>
      </c>
      <c r="S14" s="1" t="str">
        <f t="shared" si="0"/>
        <v>c(0,0.99)</v>
      </c>
      <c r="T14" s="1">
        <v>0.01</v>
      </c>
      <c r="U14" s="1">
        <v>0.01</v>
      </c>
      <c r="W14" s="1" t="s">
        <v>49</v>
      </c>
      <c r="X14" s="1" t="s">
        <v>49</v>
      </c>
      <c r="Z14" s="1" t="s">
        <v>49</v>
      </c>
      <c r="AA14" s="1" t="s">
        <v>49</v>
      </c>
      <c r="AB14" s="1" t="s">
        <v>95</v>
      </c>
    </row>
    <row r="15" spans="1:28" x14ac:dyDescent="0.2">
      <c r="A15" s="1" t="s">
        <v>50</v>
      </c>
      <c r="B15" s="1" t="b">
        <v>1</v>
      </c>
      <c r="C15" s="1" t="b">
        <v>1</v>
      </c>
      <c r="D15" s="1" t="b">
        <v>1</v>
      </c>
      <c r="E15" s="1" t="b">
        <v>1</v>
      </c>
      <c r="I15" s="1" t="b">
        <v>1</v>
      </c>
      <c r="J15" s="1" t="b">
        <v>1</v>
      </c>
      <c r="L15" s="1" t="b">
        <v>1</v>
      </c>
      <c r="N15" s="1" t="b">
        <v>1</v>
      </c>
      <c r="O15" s="1" t="b">
        <v>1</v>
      </c>
      <c r="P15" s="1">
        <v>1</v>
      </c>
      <c r="Q15" s="1">
        <v>3</v>
      </c>
      <c r="R15" s="1">
        <v>1</v>
      </c>
      <c r="S15" s="1" t="str">
        <f t="shared" si="0"/>
        <v>c(1,3)</v>
      </c>
      <c r="T15" s="1">
        <v>1</v>
      </c>
      <c r="U15" s="1">
        <v>1</v>
      </c>
      <c r="V15" s="1" t="s">
        <v>51</v>
      </c>
      <c r="W15" s="1" t="s">
        <v>139</v>
      </c>
      <c r="X15" s="1" t="s">
        <v>139</v>
      </c>
      <c r="Y15" s="1" t="s">
        <v>139</v>
      </c>
      <c r="Z15" s="1" t="s">
        <v>139</v>
      </c>
      <c r="AA15" s="1" t="s">
        <v>139</v>
      </c>
    </row>
    <row r="16" spans="1:28" x14ac:dyDescent="0.2">
      <c r="A16" s="1" t="s">
        <v>149</v>
      </c>
      <c r="C16" s="1" t="b">
        <v>1</v>
      </c>
      <c r="J16" s="1" t="b">
        <v>1</v>
      </c>
      <c r="K16" s="1" t="b">
        <v>1</v>
      </c>
      <c r="L16" s="1" t="b">
        <v>1</v>
      </c>
      <c r="O16" s="1" t="b">
        <v>1</v>
      </c>
      <c r="P16" s="1">
        <v>0.01</v>
      </c>
      <c r="Q16" s="1">
        <v>3.25</v>
      </c>
      <c r="R16" s="1">
        <v>0.15</v>
      </c>
      <c r="S16" s="1" t="str">
        <f t="shared" si="0"/>
        <v>c(0.01,3.25)</v>
      </c>
      <c r="T16" s="1">
        <v>0.01</v>
      </c>
      <c r="U16" s="1">
        <v>0.01</v>
      </c>
      <c r="W16" s="1" t="s">
        <v>148</v>
      </c>
      <c r="Z16" s="1" t="s">
        <v>53</v>
      </c>
      <c r="AA16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0"/>
  <sheetViews>
    <sheetView workbookViewId="0">
      <selection activeCell="A29" sqref="A29"/>
    </sheetView>
  </sheetViews>
  <sheetFormatPr baseColWidth="10" defaultColWidth="11.33203125" defaultRowHeight="15" x14ac:dyDescent="0.2"/>
  <cols>
    <col min="1" max="1" width="33.5" style="4" bestFit="1" customWidth="1"/>
    <col min="2" max="2" width="33.5" style="4" customWidth="1"/>
    <col min="3" max="3" width="42.1640625" style="5" bestFit="1" customWidth="1"/>
    <col min="4" max="4" width="13.5" style="5" customWidth="1"/>
    <col min="5" max="5" width="84.6640625" style="5" bestFit="1" customWidth="1"/>
    <col min="6" max="16384" width="11.33203125" style="5"/>
  </cols>
  <sheetData>
    <row r="1" spans="1:5" x14ac:dyDescent="0.2">
      <c r="A1" s="4" t="s">
        <v>54</v>
      </c>
    </row>
    <row r="2" spans="1:5" x14ac:dyDescent="0.2">
      <c r="A2" s="4" t="s">
        <v>55</v>
      </c>
      <c r="B2" s="4" t="s">
        <v>187</v>
      </c>
      <c r="C2" s="5" t="s">
        <v>56</v>
      </c>
    </row>
    <row r="3" spans="1:5" x14ac:dyDescent="0.2">
      <c r="A3" s="4" t="s">
        <v>57</v>
      </c>
      <c r="B3" s="4" t="s">
        <v>187</v>
      </c>
      <c r="C3" s="5" t="s">
        <v>58</v>
      </c>
    </row>
    <row r="4" spans="1:5" x14ac:dyDescent="0.2">
      <c r="A4" s="4" t="s">
        <v>59</v>
      </c>
      <c r="B4" s="4" t="s">
        <v>187</v>
      </c>
      <c r="C4" s="5" t="s">
        <v>60</v>
      </c>
      <c r="D4" s="5" t="s">
        <v>150</v>
      </c>
      <c r="E4" s="5" t="s">
        <v>152</v>
      </c>
    </row>
    <row r="5" spans="1:5" x14ac:dyDescent="0.2">
      <c r="A5" s="4" t="s">
        <v>61</v>
      </c>
      <c r="B5" s="4" t="s">
        <v>187</v>
      </c>
      <c r="C5" s="5" t="s">
        <v>56</v>
      </c>
    </row>
    <row r="6" spans="1:5" x14ac:dyDescent="0.2">
      <c r="A6" s="4" t="s">
        <v>62</v>
      </c>
      <c r="B6" s="4" t="s">
        <v>187</v>
      </c>
      <c r="C6" s="5" t="s">
        <v>63</v>
      </c>
    </row>
    <row r="7" spans="1:5" x14ac:dyDescent="0.2">
      <c r="A7" s="4" t="s">
        <v>64</v>
      </c>
      <c r="B7" s="4" t="s">
        <v>187</v>
      </c>
      <c r="C7" s="5" t="s">
        <v>60</v>
      </c>
      <c r="D7" s="5" t="s">
        <v>150</v>
      </c>
      <c r="E7" s="5" t="s">
        <v>151</v>
      </c>
    </row>
    <row r="8" spans="1:5" x14ac:dyDescent="0.2">
      <c r="A8" s="4" t="s">
        <v>65</v>
      </c>
      <c r="B8" s="4" t="s">
        <v>187</v>
      </c>
      <c r="C8" s="5" t="s">
        <v>66</v>
      </c>
    </row>
    <row r="9" spans="1:5" x14ac:dyDescent="0.2">
      <c r="A9" s="4" t="s">
        <v>67</v>
      </c>
      <c r="B9" s="4" t="s">
        <v>187</v>
      </c>
      <c r="C9" s="5" t="s">
        <v>156</v>
      </c>
    </row>
    <row r="10" spans="1:5" x14ac:dyDescent="0.2">
      <c r="A10" s="4" t="s">
        <v>68</v>
      </c>
      <c r="B10" s="4" t="s">
        <v>187</v>
      </c>
      <c r="C10" s="5" t="s">
        <v>60</v>
      </c>
      <c r="D10" s="5" t="s">
        <v>150</v>
      </c>
      <c r="E10" s="5" t="s">
        <v>162</v>
      </c>
    </row>
    <row r="11" spans="1:5" x14ac:dyDescent="0.2">
      <c r="A11" s="4" t="s">
        <v>69</v>
      </c>
      <c r="B11" s="4" t="s">
        <v>187</v>
      </c>
      <c r="C11" s="5" t="s">
        <v>66</v>
      </c>
    </row>
    <row r="12" spans="1:5" x14ac:dyDescent="0.2">
      <c r="A12" s="4" t="s">
        <v>70</v>
      </c>
      <c r="B12" s="4" t="s">
        <v>187</v>
      </c>
      <c r="C12" s="5" t="s">
        <v>157</v>
      </c>
    </row>
    <row r="13" spans="1:5" x14ac:dyDescent="0.2">
      <c r="A13" s="4" t="s">
        <v>71</v>
      </c>
      <c r="B13" s="4" t="s">
        <v>187</v>
      </c>
      <c r="C13" s="5" t="s">
        <v>60</v>
      </c>
      <c r="D13" s="5" t="s">
        <v>150</v>
      </c>
      <c r="E13" s="5" t="s">
        <v>163</v>
      </c>
    </row>
    <row r="14" spans="1:5" x14ac:dyDescent="0.2">
      <c r="A14" s="4" t="s">
        <v>72</v>
      </c>
      <c r="B14" s="4" t="s">
        <v>187</v>
      </c>
      <c r="C14" s="5" t="s">
        <v>66</v>
      </c>
    </row>
    <row r="15" spans="1:5" x14ac:dyDescent="0.2">
      <c r="A15" s="4" t="s">
        <v>73</v>
      </c>
      <c r="B15" s="4" t="s">
        <v>187</v>
      </c>
      <c r="C15" s="5" t="s">
        <v>156</v>
      </c>
    </row>
    <row r="16" spans="1:5" x14ac:dyDescent="0.2">
      <c r="A16" s="4" t="s">
        <v>74</v>
      </c>
      <c r="B16" s="4" t="s">
        <v>187</v>
      </c>
      <c r="C16" s="5" t="s">
        <v>60</v>
      </c>
      <c r="D16" s="5" t="s">
        <v>150</v>
      </c>
      <c r="E16" s="5" t="s">
        <v>161</v>
      </c>
    </row>
    <row r="17" spans="1:5" x14ac:dyDescent="0.2">
      <c r="A17" s="4" t="s">
        <v>75</v>
      </c>
      <c r="B17" s="4" t="s">
        <v>187</v>
      </c>
      <c r="C17" s="5" t="s">
        <v>66</v>
      </c>
    </row>
    <row r="18" spans="1:5" x14ac:dyDescent="0.2">
      <c r="A18" s="4" t="s">
        <v>76</v>
      </c>
      <c r="B18" s="4" t="s">
        <v>187</v>
      </c>
      <c r="C18" s="5" t="s">
        <v>157</v>
      </c>
    </row>
    <row r="19" spans="1:5" x14ac:dyDescent="0.2">
      <c r="A19" s="4" t="s">
        <v>77</v>
      </c>
      <c r="B19" s="4" t="s">
        <v>187</v>
      </c>
      <c r="C19" s="5" t="s">
        <v>60</v>
      </c>
      <c r="D19" s="5" t="s">
        <v>150</v>
      </c>
      <c r="E19" s="5" t="s">
        <v>160</v>
      </c>
    </row>
    <row r="20" spans="1:5" x14ac:dyDescent="0.2">
      <c r="A20" s="4" t="s">
        <v>78</v>
      </c>
      <c r="B20" s="4" t="s">
        <v>187</v>
      </c>
      <c r="C20" s="5" t="s">
        <v>79</v>
      </c>
    </row>
    <row r="21" spans="1:5" x14ac:dyDescent="0.2">
      <c r="A21" s="4" t="s">
        <v>80</v>
      </c>
      <c r="B21" s="4" t="s">
        <v>187</v>
      </c>
      <c r="C21" s="5" t="s">
        <v>81</v>
      </c>
    </row>
    <row r="22" spans="1:5" x14ac:dyDescent="0.2">
      <c r="A22" s="4" t="s">
        <v>82</v>
      </c>
      <c r="B22" s="4" t="s">
        <v>187</v>
      </c>
      <c r="C22" s="5" t="s">
        <v>83</v>
      </c>
      <c r="D22" s="5" t="s">
        <v>153</v>
      </c>
      <c r="E22" s="5" t="s">
        <v>158</v>
      </c>
    </row>
    <row r="23" spans="1:5" x14ac:dyDescent="0.2">
      <c r="A23" s="4" t="s">
        <v>84</v>
      </c>
      <c r="B23" s="4" t="s">
        <v>187</v>
      </c>
      <c r="C23" s="5" t="s">
        <v>79</v>
      </c>
    </row>
    <row r="24" spans="1:5" x14ac:dyDescent="0.2">
      <c r="A24" s="4" t="s">
        <v>85</v>
      </c>
      <c r="B24" s="4" t="s">
        <v>187</v>
      </c>
      <c r="C24" s="5" t="s">
        <v>154</v>
      </c>
    </row>
    <row r="25" spans="1:5" x14ac:dyDescent="0.2">
      <c r="A25" s="4" t="s">
        <v>86</v>
      </c>
      <c r="B25" s="4" t="s">
        <v>187</v>
      </c>
      <c r="C25" s="5" t="s">
        <v>83</v>
      </c>
      <c r="D25" s="5" t="s">
        <v>153</v>
      </c>
      <c r="E25" s="5" t="s">
        <v>159</v>
      </c>
    </row>
    <row r="26" spans="1:5" x14ac:dyDescent="0.2">
      <c r="A26" s="4" t="s">
        <v>175</v>
      </c>
      <c r="B26" s="4" t="s">
        <v>187</v>
      </c>
      <c r="C26" s="5" t="s">
        <v>182</v>
      </c>
    </row>
    <row r="27" spans="1:5" x14ac:dyDescent="0.2">
      <c r="A27" s="4" t="s">
        <v>176</v>
      </c>
      <c r="B27" s="4" t="s">
        <v>187</v>
      </c>
      <c r="C27" s="5" t="s">
        <v>181</v>
      </c>
    </row>
    <row r="28" spans="1:5" x14ac:dyDescent="0.2">
      <c r="A28" s="4" t="s">
        <v>177</v>
      </c>
      <c r="B28" s="4" t="s">
        <v>186</v>
      </c>
      <c r="C28" s="5" t="s">
        <v>83</v>
      </c>
      <c r="D28" s="5" t="s">
        <v>153</v>
      </c>
      <c r="E28" s="5" t="s">
        <v>183</v>
      </c>
    </row>
    <row r="29" spans="1:5" x14ac:dyDescent="0.2">
      <c r="A29" s="4" t="s">
        <v>178</v>
      </c>
      <c r="B29" s="4" t="s">
        <v>187</v>
      </c>
      <c r="C29" s="5" t="s">
        <v>182</v>
      </c>
    </row>
    <row r="30" spans="1:5" x14ac:dyDescent="0.2">
      <c r="A30" s="4" t="s">
        <v>179</v>
      </c>
      <c r="B30" s="4" t="s">
        <v>187</v>
      </c>
      <c r="C30" s="5" t="s">
        <v>184</v>
      </c>
    </row>
    <row r="31" spans="1:5" x14ac:dyDescent="0.2">
      <c r="A31" s="4" t="s">
        <v>180</v>
      </c>
      <c r="B31" s="4" t="s">
        <v>186</v>
      </c>
      <c r="C31" s="5" t="s">
        <v>83</v>
      </c>
      <c r="D31" s="5" t="s">
        <v>153</v>
      </c>
      <c r="E31" s="5" t="s">
        <v>185</v>
      </c>
    </row>
    <row r="32" spans="1:5" x14ac:dyDescent="0.2">
      <c r="A32" s="4" t="s">
        <v>96</v>
      </c>
      <c r="B32" s="4" t="s">
        <v>187</v>
      </c>
      <c r="C32" s="5" t="s">
        <v>56</v>
      </c>
    </row>
    <row r="33" spans="1:3" x14ac:dyDescent="0.2">
      <c r="A33" s="4" t="s">
        <v>97</v>
      </c>
      <c r="B33" s="4" t="s">
        <v>187</v>
      </c>
      <c r="C33" s="5" t="s">
        <v>58</v>
      </c>
    </row>
    <row r="34" spans="1:3" x14ac:dyDescent="0.2">
      <c r="A34" s="4" t="s">
        <v>98</v>
      </c>
      <c r="B34" s="5" t="s">
        <v>155</v>
      </c>
      <c r="C34" s="5" t="s">
        <v>99</v>
      </c>
    </row>
    <row r="35" spans="1:3" x14ac:dyDescent="0.2">
      <c r="A35" s="4" t="s">
        <v>87</v>
      </c>
    </row>
    <row r="36" spans="1:3" x14ac:dyDescent="0.2">
      <c r="A36" s="4" t="s">
        <v>88</v>
      </c>
    </row>
    <row r="37" spans="1:3" x14ac:dyDescent="0.2">
      <c r="A37" s="4" t="s">
        <v>89</v>
      </c>
    </row>
    <row r="38" spans="1:3" x14ac:dyDescent="0.2">
      <c r="A38" s="4" t="s">
        <v>90</v>
      </c>
    </row>
    <row r="39" spans="1:3" x14ac:dyDescent="0.2">
      <c r="A39" s="4" t="s">
        <v>91</v>
      </c>
    </row>
    <row r="40" spans="1:3" x14ac:dyDescent="0.2">
      <c r="A40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Microsoft Office User</cp:lastModifiedBy>
  <cp:revision/>
  <dcterms:created xsi:type="dcterms:W3CDTF">2020-02-13T11:03:16Z</dcterms:created>
  <dcterms:modified xsi:type="dcterms:W3CDTF">2021-07-15T23:35:51Z</dcterms:modified>
  <cp:category/>
  <cp:contentStatus/>
</cp:coreProperties>
</file>