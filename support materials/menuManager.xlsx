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dbergec/Dropbox/Work/Papers/Paper.RCTsQEDs/Apps/plannerApp/support materials/"/>
    </mc:Choice>
  </mc:AlternateContent>
  <xr:revisionPtr revIDLastSave="0" documentId="13_ncr:1_{8BA3784F-457E-DA4B-AA2F-FC47593394D3}" xr6:coauthVersionLast="47" xr6:coauthVersionMax="47" xr10:uidLastSave="{00000000-0000-0000-0000-000000000000}"/>
  <bookViews>
    <workbookView xWindow="1100" yWindow="1100" windowWidth="16880" windowHeight="10580" tabRatio="716" activeTab="2" xr2:uid="{8D89E9AD-B3C8-4CE6-A909-5B9DBA95DCBB}"/>
  </bookViews>
  <sheets>
    <sheet name="readme" sheetId="11" r:id="rId1"/>
    <sheet name="sample" sheetId="5" r:id="rId2"/>
    <sheet name="design" sheetId="2" r:id="rId3"/>
    <sheet name="inference" sheetId="4" r:id="rId4"/>
    <sheet name="model" sheetId="9" r:id="rId5"/>
    <sheet name="stat" sheetId="3" r:id="rId6"/>
    <sheet name="input" sheetId="1" r:id="rId7"/>
    <sheet name="code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6" i="1" l="1"/>
  <c r="T5" i="1"/>
  <c r="T3" i="1"/>
  <c r="T4" i="1"/>
  <c r="T7" i="1"/>
  <c r="T8" i="1"/>
  <c r="T9" i="1"/>
  <c r="T10" i="1"/>
  <c r="T11" i="1"/>
  <c r="T12" i="1"/>
  <c r="T13" i="1"/>
  <c r="T14" i="1"/>
  <c r="T15" i="1"/>
  <c r="T16" i="1"/>
  <c r="T17" i="1"/>
  <c r="T2" i="1"/>
  <c r="A10" i="11"/>
  <c r="A8" i="11"/>
  <c r="A7" i="11"/>
  <c r="A6" i="11"/>
  <c r="A5" i="11"/>
  <c r="A4" i="11"/>
  <c r="A3" i="11"/>
  <c r="S10" i="1"/>
  <c r="S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tc={0713FE03-72D3-4E97-9C1A-4F35BCE26CD6}</author>
    <author>tc={C16FA29C-DF1E-443B-B6F4-2B0EAF1F7A79}</author>
    <author>tc={56996333-72A8-4807-9F7B-A26D365E50ED}</author>
    <author>tc={1242266B-8183-4A71-810B-FA35C112B92A}</author>
    <author>tc={AC5243D4-8E3B-4184-AF1F-518836A7A975}</author>
    <author>tc={721899ED-7FCC-4F2B-BB22-844D27DA8843}</author>
    <author>tc={53AAC73E-37CD-4F93-952F-58532973ACC7}</author>
    <author>tc={404E6D2E-D072-435D-810D-184FE609405B}</author>
    <author>tc={1DE218DE-31C8-4B3E-95DD-574166043541}</author>
    <author>tc={CA4BCEC2-9B3E-4FC5-B2C2-41BB34B83579}</author>
  </authors>
  <commentList>
    <comment ref="I1" authorId="0" shapeId="0" xr:uid="{0713FE03-72D3-4E97-9C1A-4F35BCE26CD6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desings use which inputs?</t>
      </text>
    </comment>
    <comment ref="K1" authorId="1" shapeId="0" xr:uid="{C16FA29C-DF1E-443B-B6F4-2B0EAF1F7A79}">
      <text>
        <t>[Threaded comment]
Your version of Excel allows you to read this threaded comment; however, any edits to it will get removed if the file is opened in a newer version of Excel. Learn more: https://go.microsoft.com/fwlink/?linkid=870924
Comment:
    which inference sets use which inputs?</t>
      </text>
    </comment>
    <comment ref="L1" authorId="2" shapeId="0" xr:uid="{56996333-72A8-4807-9F7B-A26D365E50E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no-covariate models?</t>
      </text>
    </comment>
    <comment ref="M1" authorId="3" shapeId="0" xr:uid="{1242266B-8183-4A71-810B-FA35C112B92A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covariate models</t>
      </text>
    </comment>
    <comment ref="N1" authorId="4" shapeId="0" xr:uid="{AC5243D4-8E3B-4184-AF1F-518836A7A975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total sample size?</t>
      </text>
    </comment>
    <comment ref="O1" authorId="5" shapeId="0" xr:uid="{721899ED-7FCC-4F2B-BB22-844D27DA88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compute df?</t>
      </text>
    </comment>
    <comment ref="P1" authorId="6" shapeId="0" xr:uid="{53AAC73E-37CD-4F93-952F-58532973ACC7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in Variance Factor?</t>
      </text>
    </comment>
    <comment ref="S1" authorId="7" shapeId="0" xr:uid="{404E6D2E-D072-435D-810D-184FE609405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 Value</t>
      </text>
    </comment>
    <comment ref="T1" authorId="8" shapeId="0" xr:uid="{1DE218DE-31C8-4B3E-95DD-57416604354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  <comment ref="V1" authorId="9" shapeId="0" xr:uid="{CA4BCEC2-9B3E-4FC5-B2C2-41BB34B8357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used yet, but made with excel formula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tc={1275E356-8889-4DE3-A9F1-EFFEAADE9EBC}</author>
    <author>tc={EEF03417-7147-F648-A51C-4C2D4C4E7DB2}</author>
  </authors>
  <commentList>
    <comment ref="A1" authorId="0" shapeId="0" xr:uid="{1275E356-8889-4DE3-A9F1-EFFEAADE9EB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string below are the names for the *.R files created</t>
      </text>
    </comment>
    <comment ref="B1" authorId="1" shapeId="0" xr:uid="{EEF03417-7147-F648-A51C-4C2D4C4E7DB2}">
      <text>
        <t>[Threaded comment]
Your version of Excel allows you to read this threaded comment; however, any edits to it will get removed if the file is opened in a newer version of Excel. Learn more: https://go.microsoft.com/fwlink/?linkid=870924
Comment:
    place for comments</t>
      </text>
    </comment>
  </commentList>
</comments>
</file>

<file path=xl/sharedStrings.xml><?xml version="1.0" encoding="utf-8"?>
<sst xmlns="http://schemas.openxmlformats.org/spreadsheetml/2006/main" count="356" uniqueCount="200">
  <si>
    <t>sample</t>
  </si>
  <si>
    <t>label</t>
  </si>
  <si>
    <t>cross</t>
  </si>
  <si>
    <t>Cross-sectional</t>
  </si>
  <si>
    <t>long</t>
  </si>
  <si>
    <t>Longitudinal</t>
  </si>
  <si>
    <t>design</t>
  </si>
  <si>
    <t>srs</t>
  </si>
  <si>
    <t>blocked</t>
  </si>
  <si>
    <t>clustered</t>
  </si>
  <si>
    <t>its</t>
  </si>
  <si>
    <t>cits</t>
  </si>
  <si>
    <t>inference</t>
  </si>
  <si>
    <t>fixed</t>
  </si>
  <si>
    <t>Fixed effects</t>
  </si>
  <si>
    <t>random</t>
  </si>
  <si>
    <t>Random effects</t>
  </si>
  <si>
    <t>model</t>
  </si>
  <si>
    <t>nocovariate</t>
  </si>
  <si>
    <t>covariate</t>
  </si>
  <si>
    <t>stat</t>
  </si>
  <si>
    <t>N</t>
  </si>
  <si>
    <t>Total sample size</t>
  </si>
  <si>
    <t>df</t>
  </si>
  <si>
    <t>Degrees of freedom for test</t>
  </si>
  <si>
    <t>V</t>
  </si>
  <si>
    <t>Variance factor</t>
  </si>
  <si>
    <t>input</t>
  </si>
  <si>
    <t>min</t>
  </si>
  <si>
    <t>max</t>
  </si>
  <si>
    <t>ui_value_range</t>
  </si>
  <si>
    <t>ui_value_exact</t>
  </si>
  <si>
    <t>label_srs</t>
  </si>
  <si>
    <t>label_blocked</t>
  </si>
  <si>
    <t>label_clustered</t>
  </si>
  <si>
    <t>label_its</t>
  </si>
  <si>
    <t>label_cits</t>
  </si>
  <si>
    <t>m</t>
  </si>
  <si>
    <t>mt</t>
  </si>
  <si>
    <t>mc</t>
  </si>
  <si>
    <t>n</t>
  </si>
  <si>
    <t>nt</t>
  </si>
  <si>
    <t>nc</t>
  </si>
  <si>
    <t>pretime</t>
  </si>
  <si>
    <t>posttime</t>
  </si>
  <si>
    <t>icc</t>
  </si>
  <si>
    <t>R2_1</t>
  </si>
  <si>
    <t>R2_2</t>
  </si>
  <si>
    <t>ar</t>
  </si>
  <si>
    <t xml:space="preserve">First-order autocorrelation </t>
  </si>
  <si>
    <t>q</t>
  </si>
  <si>
    <t>Number covariates</t>
  </si>
  <si>
    <t>Covariate-treatment effect correlation (squared)</t>
  </si>
  <si>
    <t>Variance of treatment effects across longitudinal units</t>
  </si>
  <si>
    <t>function_name</t>
  </si>
  <si>
    <t>srs_fixed_nocovariate_N</t>
  </si>
  <si>
    <t>N &lt;- nt+nc</t>
  </si>
  <si>
    <t>srs_fixed_nocovariate_df</t>
  </si>
  <si>
    <t>df &lt;- nt+nc-2</t>
  </si>
  <si>
    <t>srs_fixed_nocovariate_V</t>
  </si>
  <si>
    <t>p &lt;- nt/(nt+nc)</t>
  </si>
  <si>
    <t>srs_fixed_covariate_N</t>
  </si>
  <si>
    <t>srs_fixed_covariate_df</t>
  </si>
  <si>
    <t>df &lt;- nt+nc-2-q</t>
  </si>
  <si>
    <t>srs_fixed_covariate_V</t>
  </si>
  <si>
    <t>blocked_fixed_nocovariate_N</t>
  </si>
  <si>
    <t>N &lt;- m*(nt+nc)</t>
  </si>
  <si>
    <t>blocked_fixed_nocovariate_df</t>
  </si>
  <si>
    <t>blocked_fixed_nocovariate_V</t>
  </si>
  <si>
    <t>blocked_fixed_covariate_N</t>
  </si>
  <si>
    <t>blocked_fixed_covariate_df</t>
  </si>
  <si>
    <t>blocked_fixed_covariate_V</t>
  </si>
  <si>
    <t>blocked_random_nocovariate_N</t>
  </si>
  <si>
    <t>blocked_random_nocovariate_df</t>
  </si>
  <si>
    <t>blocked_random_nocovariate_V</t>
  </si>
  <si>
    <t>blocked_random_covariate_N</t>
  </si>
  <si>
    <t>blocked_random_covariate_df</t>
  </si>
  <si>
    <t>blocked_random_covariate_V</t>
  </si>
  <si>
    <t>clustered_random_nocovariate_N</t>
  </si>
  <si>
    <t>N &lt;- n*(mt+mc)</t>
  </si>
  <si>
    <t>clustered_random_nocovariate_df</t>
  </si>
  <si>
    <t xml:space="preserve">df &lt;- mt + mc - 2 </t>
  </si>
  <si>
    <t>clustered_random_nocovariate_V</t>
  </si>
  <si>
    <t>p &lt;- mt/(mt+mc)</t>
  </si>
  <si>
    <t>clustered_random_covariate_N</t>
  </si>
  <si>
    <t>clustered_random_covariate_df</t>
  </si>
  <si>
    <t>clustered_random_covariate_V</t>
  </si>
  <si>
    <t>its_fixed_nocovariate_N</t>
  </si>
  <si>
    <t>its_fixed_nocovariate_df</t>
  </si>
  <si>
    <t>its_fixed_nocovariate_V</t>
  </si>
  <si>
    <t>cits_fixed_nocovariate_N</t>
  </si>
  <si>
    <t>cits_fixed_nocovariate_df</t>
  </si>
  <si>
    <t>cits_fixed_nocovariate_V</t>
  </si>
  <si>
    <t>did</t>
  </si>
  <si>
    <t>label_did</t>
  </si>
  <si>
    <t xml:space="preserve">Correlation between pre- and post-test </t>
  </si>
  <si>
    <t>did_fixed_nocovariate_N</t>
  </si>
  <si>
    <t>did_fixed_nocovariate_df</t>
  </si>
  <si>
    <t>did_fixed_nocovariate_V</t>
  </si>
  <si>
    <t>V &lt;- (nt*nc)/(nt+nc)*(1/(2*(1-ar)))</t>
  </si>
  <si>
    <t>This excel file drives the creation of menus for the planner app.</t>
  </si>
  <si>
    <t>There are several sheets the contain mostly T/F statements, but also defaults and even R code.</t>
  </si>
  <si>
    <t>&lt;- This sheet labels the designs with keywords and maps them to types of samples</t>
  </si>
  <si>
    <t>&lt;- This sheet notes which types of inference are available for which designs</t>
  </si>
  <si>
    <t>&lt;- This sheet notes which types of models (i.e., with or without covariates) are available for which designs</t>
  </si>
  <si>
    <t>&lt;- This sheet notes which designs need which elements of the NCP, they all need all</t>
  </si>
  <si>
    <t>&lt;- This sheet literally has R code across columns for each function organized by row</t>
  </si>
  <si>
    <t>Also included are labels for the shiny app (last columns)</t>
  </si>
  <si>
    <t>If something is funky, check the code</t>
  </si>
  <si>
    <t>&lt;- The sheet labels which designs are cross-sectional and which are longitudinal and keys to words like 'cross'</t>
  </si>
  <si>
    <t>&lt;- This sheet notes which designs, inference, model, etc., need which elements for stats</t>
  </si>
  <si>
    <t>Clustered Random Assignment</t>
  </si>
  <si>
    <t>Without covariates</t>
  </si>
  <si>
    <t>With covariates</t>
  </si>
  <si>
    <t>Number of interention group  longitudinal units</t>
  </si>
  <si>
    <t>Number of comparison group longitudinal units</t>
  </si>
  <si>
    <t>Number of intervention group  individuals</t>
  </si>
  <si>
    <t>Number of comparison group individuals</t>
  </si>
  <si>
    <t>Variance reduction in outcome (due to covariates)</t>
  </si>
  <si>
    <t>Number of blocks</t>
  </si>
  <si>
    <t>Intraclass correlation (ICC)</t>
  </si>
  <si>
    <t>Variance reduction in outcome (individuals)</t>
  </si>
  <si>
    <t>Number of  clusters</t>
  </si>
  <si>
    <t>Number of intervention group clusters</t>
  </si>
  <si>
    <t>Number of comparison  group clusters</t>
  </si>
  <si>
    <t>Number individuals per  cluster</t>
  </si>
  <si>
    <t>Number of comparison  group individuals per  block</t>
  </si>
  <si>
    <t>Number of intervention group individuals per block</t>
  </si>
  <si>
    <t>Number of intervention group individuals per cluster</t>
  </si>
  <si>
    <t>Number of comparison  group individuals per cluster</t>
  </si>
  <si>
    <t>Number of timepoints before intervention</t>
  </si>
  <si>
    <t>Number of timepoints after intervention</t>
  </si>
  <si>
    <t>Variance reduction in outcome (clusters)</t>
  </si>
  <si>
    <t>Variance reduction in outcome (longitudinal units)</t>
  </si>
  <si>
    <t>Number of covariates</t>
  </si>
  <si>
    <t>Number of  longitudinal units</t>
  </si>
  <si>
    <t>Number individuals per  longitudinal unit</t>
  </si>
  <si>
    <t>Number of intervention group individuals per longitudinal unit</t>
  </si>
  <si>
    <t>Number of comparison group  individuals per longitudinal unit</t>
  </si>
  <si>
    <t>Number of intervention group individuals</t>
  </si>
  <si>
    <t>Interrupted Time Series (ITS)</t>
  </si>
  <si>
    <t>Comparative Interrupted Time Series (CITS)</t>
  </si>
  <si>
    <t>Difference in Differences (DiD)</t>
  </si>
  <si>
    <t>Ratio of Variance of treatment effects across blocks to variance of means across blocks</t>
  </si>
  <si>
    <t>upsilon</t>
  </si>
  <si>
    <t>n &lt;- nt+nc</t>
  </si>
  <si>
    <t>V &lt;- n*p*(1-p)*(1/(1-R2_1))</t>
  </si>
  <si>
    <t>V &lt;- n*p*(1-p)</t>
  </si>
  <si>
    <t>m &lt;- mt+mc</t>
  </si>
  <si>
    <t>df &lt;- mt + mc - 2 - q</t>
  </si>
  <si>
    <t>#From appendix in DiD Chapter</t>
  </si>
  <si>
    <t>df &lt;- m*(nt+nc)-2</t>
  </si>
  <si>
    <t>df &lt;- m*(nt+nc)-2-q</t>
  </si>
  <si>
    <t>V &lt;- m*n*p*(1-p)*(1/(1+(n-1)*icc))</t>
  </si>
  <si>
    <t>V &lt;- m*n*p*(1-p)*(1/(1+(n-1)*icc-(R2_1+(n*R2_2-R2_1)*icc)))</t>
  </si>
  <si>
    <t>V &lt;- m*n*p*(1-p)*(1/(1+(n*p*(1-p)*upsilon)*icc-(R2_1+(n*p*(1-p)*upsilon)*R2_2-R2_1)*icc))</t>
  </si>
  <si>
    <t>V &lt;- m*n*p*(1-p)*(1/(1+(n*p*(1-p)*upsilon)*icc))</t>
  </si>
  <si>
    <t>V &lt;- m*n*p*(1-p)*(1/(1-icc))</t>
  </si>
  <si>
    <t>V &lt;- m*n*p*(1-p)*(1/((1-icc)-(R2_1-R2_1*icc)))</t>
  </si>
  <si>
    <t>ui_step_range</t>
  </si>
  <si>
    <t>ui_step_exact</t>
  </si>
  <si>
    <t>blockedclustered</t>
  </si>
  <si>
    <t>label_blockedclustered</t>
  </si>
  <si>
    <t>Number of intervention group clusters per block</t>
  </si>
  <si>
    <t>Number of comparison  group clusters per block</t>
  </si>
  <si>
    <t>Number individuals per cluster per block</t>
  </si>
  <si>
    <t>Intraclass correlation (ICC) within blocks</t>
  </si>
  <si>
    <t>Variance reduction in outcome (clusters within blocks)</t>
  </si>
  <si>
    <t>blockedclustered_fixed_nocovariate_N</t>
  </si>
  <si>
    <t>blockedclustered_fixed_nocovariate_df</t>
  </si>
  <si>
    <t>blockedclustered_fixed_nocovariate_V</t>
  </si>
  <si>
    <t>blockedclustered_fixed_covariate_N</t>
  </si>
  <si>
    <t>blockedclustered_fixed_covariate_df</t>
  </si>
  <si>
    <t>blockedclustered_fixed_covariate_V</t>
  </si>
  <si>
    <t>#</t>
  </si>
  <si>
    <t>dummyblocked</t>
  </si>
  <si>
    <t>label_dummyblocked</t>
  </si>
  <si>
    <t xml:space="preserve"> </t>
  </si>
  <si>
    <t>Variance explained by block effects</t>
  </si>
  <si>
    <t>dummyblocked_fixed_nocovariate_N</t>
  </si>
  <si>
    <t>dummyblocked_fixed_nocovariate_df</t>
  </si>
  <si>
    <t>dummyblocked_fixed_nocovariate_V</t>
  </si>
  <si>
    <t>dummyblocked_fixed_covariate_N</t>
  </si>
  <si>
    <t>dummyblocked_fixed_covariate_df</t>
  </si>
  <si>
    <t>dummyblocked_fixed_covariate_V</t>
  </si>
  <si>
    <t>V &lt;- m*n*p*(1-p)*(1/(1-icc))*(1/(1-R2_1))</t>
  </si>
  <si>
    <t>kt</t>
  </si>
  <si>
    <t>kc</t>
  </si>
  <si>
    <t>df &lt;- m-1</t>
  </si>
  <si>
    <t>p &lt;- kt/(kt+kc)</t>
  </si>
  <si>
    <t>k &lt;- kt+kc</t>
  </si>
  <si>
    <t>V &lt;- m*k*n*p*(1-p)*(1/(1+(n-1)*icc))</t>
  </si>
  <si>
    <t>df &lt;- m-1-q</t>
  </si>
  <si>
    <t>V &lt;- m*k*n*p*(1-p)*(1/(1+(n-1)*icc-(R2_1+(n*R2_2-R2_1)*icc)))</t>
  </si>
  <si>
    <t>#expression 30 in Hedges and Rhoads, k here is p in that paper</t>
  </si>
  <si>
    <t>N &lt;- m*(kt+kc)*n</t>
  </si>
  <si>
    <t>Multisite Individually Randomized Design with Fixed Effects</t>
  </si>
  <si>
    <t>Multisite Individually Randomized Design with Random Effects</t>
  </si>
  <si>
    <t>Multisite Cluster Randomized Designs  (fixed block effects and random cluster effects)</t>
  </si>
  <si>
    <t>Individually Randomized Designs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</si>
</sst>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left"/>
    </xf>
    <xf numFmtId="0" fontId="1" fillId="0" borderId="0" xfId="1"/>
    <xf numFmtId="0" fontId="2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0" fontId="4" fillId="2" borderId="0" xfId="0" applyFont="1" applyFill="1"/>
  </cellXfs>
  <cellStyles count="2">
    <cellStyle name="Hyperlink" xfId="1" builtinId="8"/>
    <cellStyle name="Normal" xfId="0" builtinId="0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nsolas"/>
        <family val="3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. C. Hedberg" id="{65A658BA-1FAC-4714-A260-E36CAA09F76D}" userId="2a678a435b491d9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52DF64-9A11-42D3-B695-178EF7A61CD5}" name="Table3" displayName="Table3" ref="A1:E46" headerRowCount="0" totalsRowShown="0" headerRowDxfId="11" dataDxfId="10">
  <tableColumns count="5">
    <tableColumn id="1" xr3:uid="{14FCBBA3-4721-4280-B533-C0FC542668AA}" name="Column1" headerRowDxfId="9" dataDxfId="8"/>
    <tableColumn id="5" xr3:uid="{325E2793-747D-D245-82E5-0CFCB3777237}" name="Column5" headerRowDxfId="7" dataDxfId="6"/>
    <tableColumn id="2" xr3:uid="{E90FB251-9DD0-40B0-A06B-487DE170DB7D}" name="Column2" headerRowDxfId="5" dataDxfId="4"/>
    <tableColumn id="3" xr3:uid="{1DDFB4AE-3D35-415F-AC9F-F95F752C46CF}" name="Column3" headerRowDxfId="3" dataDxfId="2"/>
    <tableColumn id="4" xr3:uid="{5BDFB90D-F447-456A-9633-044179DB9760}" name="Column4" headerRowDxfId="1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1-07-10T01:04:10.84" personId="{65A658BA-1FAC-4714-A260-E36CAA09F76D}" id="{0713FE03-72D3-4E97-9C1A-4F35BCE26CD6}">
    <text>which desings use which inputs?</text>
  </threadedComment>
  <threadedComment ref="K1" dT="2021-07-10T01:04:37.05" personId="{65A658BA-1FAC-4714-A260-E36CAA09F76D}" id="{C16FA29C-DF1E-443B-B6F4-2B0EAF1F7A79}">
    <text>which inference sets use which inputs?</text>
  </threadedComment>
  <threadedComment ref="L1" dT="2021-07-10T00:55:47.10" personId="{65A658BA-1FAC-4714-A260-E36CAA09F76D}" id="{56996333-72A8-4807-9F7B-A26D365E50ED}">
    <text>used in no-covariate models?</text>
  </threadedComment>
  <threadedComment ref="M1" dT="2021-07-10T00:55:19.43" personId="{65A658BA-1FAC-4714-A260-E36CAA09F76D}" id="{1242266B-8183-4A71-810B-FA35C112B92A}">
    <text>used in covariate models</text>
  </threadedComment>
  <threadedComment ref="N1" dT="2021-07-10T00:55:08.33" personId="{65A658BA-1FAC-4714-A260-E36CAA09F76D}" id="{AC5243D4-8E3B-4184-AF1F-518836A7A975}">
    <text>used to compute total sample size?</text>
  </threadedComment>
  <threadedComment ref="O1" dT="2021-07-10T00:54:10.24" personId="{65A658BA-1FAC-4714-A260-E36CAA09F76D}" id="{721899ED-7FCC-4F2B-BB22-844D27DA8843}">
    <text>used to compute df?</text>
  </threadedComment>
  <threadedComment ref="P1" dT="2021-07-10T00:53:59.73" personId="{65A658BA-1FAC-4714-A260-E36CAA09F76D}" id="{53AAC73E-37CD-4F93-952F-58532973ACC7}">
    <text>Used in Variance Factor?</text>
  </threadedComment>
  <threadedComment ref="S1" dT="2021-07-10T00:53:45.02" personId="{65A658BA-1FAC-4714-A260-E36CAA09F76D}" id="{404E6D2E-D072-435D-810D-184FE609405B}">
    <text>Default Value</text>
  </threadedComment>
  <threadedComment ref="T1" dT="2021-07-10T00:53:30.43" personId="{65A658BA-1FAC-4714-A260-E36CAA09F76D}" id="{1DE218DE-31C8-4B3E-95DD-574166043541}">
    <text>Not used yet, but made with excel formula</text>
  </threadedComment>
  <threadedComment ref="V1" dT="2021-07-10T00:53:30.43" personId="{65A658BA-1FAC-4714-A260-E36CAA09F76D}" id="{CA4BCEC2-9B3E-4FC5-B2C2-41BB34B83579}">
    <text>Not used yet, but made with excel formula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1-07-10T01:03:40.46" personId="{65A658BA-1FAC-4714-A260-E36CAA09F76D}" id="{1275E356-8889-4DE3-A9F1-EFFEAADE9EBC}">
    <text>the string below are the names for the *.R files created</text>
  </threadedComment>
  <threadedComment ref="B1" dT="2021-07-15T23:22:05.25" personId="{65A658BA-1FAC-4714-A260-E36CAA09F76D}" id="{EEF03417-7147-F648-A51C-4C2D4C4E7DB2}">
    <text>place for comments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C3392-495A-4716-B7D0-8CB1570246E2}">
  <dimension ref="A1:C11"/>
  <sheetViews>
    <sheetView workbookViewId="0">
      <selection activeCell="A3" sqref="A3"/>
    </sheetView>
  </sheetViews>
  <sheetFormatPr baseColWidth="10" defaultColWidth="8.83203125" defaultRowHeight="15" x14ac:dyDescent="0.2"/>
  <cols>
    <col min="1" max="1" width="21.6640625" customWidth="1"/>
  </cols>
  <sheetData>
    <row r="1" spans="1:3" x14ac:dyDescent="0.2">
      <c r="A1" t="s">
        <v>100</v>
      </c>
    </row>
    <row r="2" spans="1:3" x14ac:dyDescent="0.2">
      <c r="A2" t="s">
        <v>101</v>
      </c>
    </row>
    <row r="3" spans="1:3" x14ac:dyDescent="0.2">
      <c r="A3" s="2" t="str">
        <f>HYPERLINK(sample!A1)</f>
        <v>sample</v>
      </c>
      <c r="B3" t="s">
        <v>109</v>
      </c>
    </row>
    <row r="4" spans="1:3" x14ac:dyDescent="0.2">
      <c r="A4" s="2" t="str">
        <f>HYPERLINK(design!A1)</f>
        <v>design</v>
      </c>
      <c r="B4" t="s">
        <v>102</v>
      </c>
    </row>
    <row r="5" spans="1:3" x14ac:dyDescent="0.2">
      <c r="A5" s="2" t="str">
        <f>HYPERLINK(inference!A1)</f>
        <v>inference</v>
      </c>
      <c r="B5" t="s">
        <v>103</v>
      </c>
    </row>
    <row r="6" spans="1:3" x14ac:dyDescent="0.2">
      <c r="A6" s="2" t="str">
        <f>HYPERLINK(model!A1)</f>
        <v>model</v>
      </c>
      <c r="B6" t="s">
        <v>104</v>
      </c>
    </row>
    <row r="7" spans="1:3" x14ac:dyDescent="0.2">
      <c r="A7" s="2" t="str">
        <f>HYPERLINK(stat!A1)</f>
        <v>stat</v>
      </c>
      <c r="B7" t="s">
        <v>105</v>
      </c>
    </row>
    <row r="8" spans="1:3" x14ac:dyDescent="0.2">
      <c r="A8" s="2" t="str">
        <f>HYPERLINK(input!A1)</f>
        <v>input</v>
      </c>
      <c r="B8" t="s">
        <v>110</v>
      </c>
    </row>
    <row r="9" spans="1:3" x14ac:dyDescent="0.2">
      <c r="A9" s="2"/>
      <c r="C9" t="s">
        <v>107</v>
      </c>
    </row>
    <row r="10" spans="1:3" x14ac:dyDescent="0.2">
      <c r="A10" s="2" t="str">
        <f>HYPERLINK(code!A1,"code")</f>
        <v>code</v>
      </c>
      <c r="B10" t="s">
        <v>106</v>
      </c>
    </row>
    <row r="11" spans="1:3" x14ac:dyDescent="0.2">
      <c r="C11" t="s">
        <v>108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E0447-8401-42C5-BE02-401F505AE938}">
  <dimension ref="A1:B3"/>
  <sheetViews>
    <sheetView workbookViewId="0">
      <selection activeCell="C4" sqref="C4"/>
    </sheetView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A0D0E-E4D1-469A-AF1F-085E17D5518F}">
  <dimension ref="A1:D9"/>
  <sheetViews>
    <sheetView tabSelected="1" workbookViewId="0">
      <selection activeCell="B16" sqref="B16"/>
    </sheetView>
  </sheetViews>
  <sheetFormatPr baseColWidth="10" defaultColWidth="8.83203125" defaultRowHeight="15" x14ac:dyDescent="0.2"/>
  <cols>
    <col min="1" max="1" width="14.1640625" bestFit="1" customWidth="1"/>
    <col min="2" max="2" width="29.33203125" bestFit="1" customWidth="1"/>
  </cols>
  <sheetData>
    <row r="1" spans="1:4" x14ac:dyDescent="0.2">
      <c r="A1" t="s">
        <v>6</v>
      </c>
      <c r="B1" t="s">
        <v>1</v>
      </c>
      <c r="C1" t="s">
        <v>2</v>
      </c>
      <c r="D1" t="s">
        <v>4</v>
      </c>
    </row>
    <row r="2" spans="1:4" x14ac:dyDescent="0.2">
      <c r="A2" t="s">
        <v>7</v>
      </c>
      <c r="B2" t="s">
        <v>199</v>
      </c>
      <c r="C2" t="b">
        <v>1</v>
      </c>
    </row>
    <row r="3" spans="1:4" x14ac:dyDescent="0.2">
      <c r="A3" t="s">
        <v>175</v>
      </c>
      <c r="B3" t="s">
        <v>196</v>
      </c>
      <c r="C3" t="b">
        <v>1</v>
      </c>
    </row>
    <row r="4" spans="1:4" x14ac:dyDescent="0.2">
      <c r="A4" t="s">
        <v>8</v>
      </c>
      <c r="B4" t="s">
        <v>197</v>
      </c>
      <c r="C4" t="b">
        <v>1</v>
      </c>
    </row>
    <row r="5" spans="1:4" x14ac:dyDescent="0.2">
      <c r="A5" t="s">
        <v>9</v>
      </c>
      <c r="B5" t="s">
        <v>111</v>
      </c>
      <c r="C5" t="b">
        <v>1</v>
      </c>
    </row>
    <row r="6" spans="1:4" x14ac:dyDescent="0.2">
      <c r="A6" t="s">
        <v>161</v>
      </c>
      <c r="B6" t="s">
        <v>198</v>
      </c>
      <c r="C6" t="b">
        <v>1</v>
      </c>
    </row>
    <row r="7" spans="1:4" x14ac:dyDescent="0.2">
      <c r="A7" t="s">
        <v>10</v>
      </c>
      <c r="B7" t="s">
        <v>140</v>
      </c>
      <c r="D7" t="b">
        <v>0</v>
      </c>
    </row>
    <row r="8" spans="1:4" x14ac:dyDescent="0.2">
      <c r="A8" t="s">
        <v>11</v>
      </c>
      <c r="B8" t="s">
        <v>141</v>
      </c>
      <c r="D8" t="b">
        <v>0</v>
      </c>
    </row>
    <row r="9" spans="1:4" x14ac:dyDescent="0.2">
      <c r="A9" t="s">
        <v>93</v>
      </c>
      <c r="B9" t="s">
        <v>142</v>
      </c>
      <c r="D9" t="b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6AD60-7AB8-4CAF-9726-0F1707E818DE}">
  <dimension ref="A1:J3"/>
  <sheetViews>
    <sheetView workbookViewId="0">
      <selection activeCell="G2" sqref="G2"/>
    </sheetView>
  </sheetViews>
  <sheetFormatPr baseColWidth="10" defaultColWidth="8.83203125" defaultRowHeight="15" x14ac:dyDescent="0.2"/>
  <cols>
    <col min="2" max="2" width="15" bestFit="1" customWidth="1"/>
    <col min="3" max="4" width="5.1640625" customWidth="1"/>
  </cols>
  <sheetData>
    <row r="1" spans="1:10" x14ac:dyDescent="0.2">
      <c r="A1" t="s">
        <v>12</v>
      </c>
      <c r="B1" t="s">
        <v>1</v>
      </c>
      <c r="C1" t="s">
        <v>7</v>
      </c>
      <c r="D1" t="s">
        <v>8</v>
      </c>
      <c r="E1" t="s">
        <v>175</v>
      </c>
      <c r="F1" t="s">
        <v>9</v>
      </c>
      <c r="G1" t="s">
        <v>161</v>
      </c>
      <c r="H1" t="s">
        <v>10</v>
      </c>
      <c r="I1" t="s">
        <v>11</v>
      </c>
      <c r="J1" t="s">
        <v>93</v>
      </c>
    </row>
    <row r="2" spans="1:10" x14ac:dyDescent="0.2">
      <c r="A2" t="s">
        <v>13</v>
      </c>
      <c r="B2" t="s">
        <v>14</v>
      </c>
      <c r="C2" t="b">
        <v>1</v>
      </c>
      <c r="E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15</v>
      </c>
      <c r="B3" t="s">
        <v>16</v>
      </c>
      <c r="D3" t="b">
        <v>1</v>
      </c>
      <c r="F3" t="b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838A5-C062-40CB-BD39-4466E5E1974A}">
  <dimension ref="A1:J3"/>
  <sheetViews>
    <sheetView workbookViewId="0">
      <selection activeCell="E4" sqref="E4"/>
    </sheetView>
  </sheetViews>
  <sheetFormatPr baseColWidth="10" defaultColWidth="8.83203125" defaultRowHeight="15" x14ac:dyDescent="0.2"/>
  <cols>
    <col min="1" max="1" width="11.33203125" bestFit="1" customWidth="1"/>
    <col min="2" max="2" width="16.1640625" bestFit="1" customWidth="1"/>
    <col min="3" max="3" width="5.33203125" bestFit="1" customWidth="1"/>
  </cols>
  <sheetData>
    <row r="1" spans="1:10" x14ac:dyDescent="0.2">
      <c r="A1" t="s">
        <v>17</v>
      </c>
      <c r="B1" t="s">
        <v>1</v>
      </c>
      <c r="C1" t="s">
        <v>7</v>
      </c>
      <c r="D1" t="s">
        <v>8</v>
      </c>
      <c r="E1" t="s">
        <v>175</v>
      </c>
      <c r="F1" t="s">
        <v>9</v>
      </c>
      <c r="G1" t="s">
        <v>161</v>
      </c>
      <c r="H1" t="s">
        <v>10</v>
      </c>
      <c r="I1" t="s">
        <v>11</v>
      </c>
      <c r="J1" t="s">
        <v>93</v>
      </c>
    </row>
    <row r="2" spans="1:10" x14ac:dyDescent="0.2">
      <c r="A2" t="s">
        <v>18</v>
      </c>
      <c r="B2" t="s">
        <v>112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19</v>
      </c>
      <c r="B3" t="s">
        <v>113</v>
      </c>
      <c r="C3" t="b">
        <v>1</v>
      </c>
      <c r="D3" t="b">
        <v>1</v>
      </c>
      <c r="E3" t="b">
        <v>1</v>
      </c>
      <c r="F3" t="b">
        <v>1</v>
      </c>
      <c r="G3" t="b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306200-6D5D-404E-9AA4-2D83AC7E89FD}">
  <dimension ref="A1:J4"/>
  <sheetViews>
    <sheetView workbookViewId="0">
      <selection activeCell="E5" sqref="E5"/>
    </sheetView>
  </sheetViews>
  <sheetFormatPr baseColWidth="10" defaultColWidth="8.83203125" defaultRowHeight="15" x14ac:dyDescent="0.2"/>
  <cols>
    <col min="2" max="2" width="22.6640625" bestFit="1" customWidth="1"/>
    <col min="3" max="3" width="12" customWidth="1"/>
  </cols>
  <sheetData>
    <row r="1" spans="1:10" x14ac:dyDescent="0.2">
      <c r="A1" t="s">
        <v>20</v>
      </c>
      <c r="B1" t="s">
        <v>1</v>
      </c>
      <c r="C1" t="s">
        <v>7</v>
      </c>
      <c r="D1" t="s">
        <v>8</v>
      </c>
      <c r="E1" t="s">
        <v>175</v>
      </c>
      <c r="F1" t="s">
        <v>9</v>
      </c>
      <c r="G1" t="s">
        <v>161</v>
      </c>
      <c r="H1" t="s">
        <v>10</v>
      </c>
      <c r="I1" t="s">
        <v>11</v>
      </c>
      <c r="J1" t="s">
        <v>93</v>
      </c>
    </row>
    <row r="2" spans="1:10" x14ac:dyDescent="0.2">
      <c r="A2" t="s">
        <v>21</v>
      </c>
      <c r="B2" t="s">
        <v>22</v>
      </c>
      <c r="C2" t="b">
        <v>1</v>
      </c>
      <c r="D2" t="b">
        <v>1</v>
      </c>
      <c r="E2" t="b">
        <v>1</v>
      </c>
      <c r="F2" t="b">
        <v>1</v>
      </c>
      <c r="G2" t="b">
        <v>1</v>
      </c>
      <c r="H2" t="b">
        <v>1</v>
      </c>
      <c r="I2" t="b">
        <v>1</v>
      </c>
      <c r="J2" t="b">
        <v>1</v>
      </c>
    </row>
    <row r="3" spans="1:10" x14ac:dyDescent="0.2">
      <c r="A3" t="s">
        <v>23</v>
      </c>
      <c r="B3" t="s">
        <v>24</v>
      </c>
      <c r="C3" t="b">
        <v>1</v>
      </c>
      <c r="D3" t="b">
        <v>1</v>
      </c>
      <c r="E3" t="b">
        <v>1</v>
      </c>
      <c r="F3" t="b">
        <v>1</v>
      </c>
      <c r="G3" t="b">
        <v>1</v>
      </c>
      <c r="H3" t="b">
        <v>1</v>
      </c>
      <c r="I3" t="b">
        <v>1</v>
      </c>
      <c r="J3" t="b">
        <v>1</v>
      </c>
    </row>
    <row r="4" spans="1:10" x14ac:dyDescent="0.2">
      <c r="A4" t="s">
        <v>25</v>
      </c>
      <c r="B4" t="s">
        <v>26</v>
      </c>
      <c r="C4" t="b">
        <v>1</v>
      </c>
      <c r="D4" t="b">
        <v>1</v>
      </c>
      <c r="E4" t="b">
        <v>1</v>
      </c>
      <c r="F4" t="b">
        <v>1</v>
      </c>
      <c r="G4" t="b">
        <v>1</v>
      </c>
      <c r="H4" t="b">
        <v>1</v>
      </c>
      <c r="I4" t="b">
        <v>1</v>
      </c>
      <c r="J4" t="b">
        <v>1</v>
      </c>
    </row>
  </sheetData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B87C-0BDF-4509-A80F-252767BE3B26}">
  <dimension ref="A1:AD17"/>
  <sheetViews>
    <sheetView workbookViewId="0">
      <pane xSplit="1" topLeftCell="N1" activePane="topRight" state="frozen"/>
      <selection pane="topRight" activeCell="V9" sqref="V9"/>
    </sheetView>
  </sheetViews>
  <sheetFormatPr baseColWidth="10" defaultColWidth="9.1640625" defaultRowHeight="15" x14ac:dyDescent="0.2"/>
  <cols>
    <col min="1" max="1" width="9" style="1" bestFit="1" customWidth="1"/>
    <col min="2" max="2" width="9" style="1" customWidth="1"/>
    <col min="3" max="4" width="8" style="1" bestFit="1" customWidth="1"/>
    <col min="5" max="5" width="9.33203125" style="1" bestFit="1" customWidth="1"/>
    <col min="6" max="6" width="14.1640625" style="1" bestFit="1" customWidth="1"/>
    <col min="7" max="8" width="5.33203125" style="1" bestFit="1" customWidth="1"/>
    <col min="9" max="9" width="5.33203125" style="1" customWidth="1"/>
    <col min="10" max="11" width="7.83203125" style="1" bestFit="1" customWidth="1"/>
    <col min="12" max="12" width="10" style="1" bestFit="1" customWidth="1"/>
    <col min="13" max="13" width="9.1640625" style="1" bestFit="1" customWidth="1"/>
    <col min="14" max="16" width="7.83203125" style="1" customWidth="1"/>
    <col min="17" max="18" width="9.1640625" style="1" customWidth="1"/>
    <col min="19" max="19" width="14.33203125" style="1" bestFit="1" customWidth="1"/>
    <col min="20" max="20" width="14.6640625" style="1" bestFit="1" customWidth="1"/>
    <col min="21" max="22" width="14.6640625" style="1" customWidth="1"/>
    <col min="23" max="24" width="49.33203125" style="1" bestFit="1" customWidth="1"/>
    <col min="25" max="25" width="49.33203125" style="1" customWidth="1"/>
    <col min="26" max="26" width="49.33203125" style="1" bestFit="1" customWidth="1"/>
    <col min="27" max="27" width="49.33203125" style="1" customWidth="1"/>
    <col min="28" max="29" width="55.33203125" style="1" bestFit="1" customWidth="1"/>
    <col min="30" max="16384" width="9.1640625" style="1"/>
  </cols>
  <sheetData>
    <row r="1" spans="1:30" x14ac:dyDescent="0.2">
      <c r="A1" s="1" t="s">
        <v>27</v>
      </c>
      <c r="B1" s="1" t="s">
        <v>7</v>
      </c>
      <c r="C1" s="1" t="s">
        <v>8</v>
      </c>
      <c r="D1" s="1" t="s">
        <v>175</v>
      </c>
      <c r="E1" s="1" t="s">
        <v>9</v>
      </c>
      <c r="F1" s="1" t="s">
        <v>161</v>
      </c>
      <c r="G1" s="1" t="s">
        <v>10</v>
      </c>
      <c r="H1" s="1" t="s">
        <v>11</v>
      </c>
      <c r="I1" s="1" t="s">
        <v>93</v>
      </c>
      <c r="J1" s="1" t="s">
        <v>13</v>
      </c>
      <c r="K1" s="1" t="s">
        <v>15</v>
      </c>
      <c r="L1" s="1" t="s">
        <v>18</v>
      </c>
      <c r="M1" s="1" t="s">
        <v>19</v>
      </c>
      <c r="N1" s="1" t="s">
        <v>21</v>
      </c>
      <c r="O1" s="1" t="s">
        <v>23</v>
      </c>
      <c r="P1" s="1" t="s">
        <v>25</v>
      </c>
      <c r="Q1" s="1" t="s">
        <v>28</v>
      </c>
      <c r="R1" s="1" t="s">
        <v>29</v>
      </c>
      <c r="S1" s="1" t="s">
        <v>31</v>
      </c>
      <c r="T1" s="1" t="s">
        <v>30</v>
      </c>
      <c r="U1" s="1" t="s">
        <v>160</v>
      </c>
      <c r="V1" s="1" t="s">
        <v>159</v>
      </c>
      <c r="W1" s="1" t="s">
        <v>32</v>
      </c>
      <c r="X1" s="1" t="s">
        <v>33</v>
      </c>
      <c r="Y1" s="1" t="s">
        <v>176</v>
      </c>
      <c r="Z1" s="1" t="s">
        <v>34</v>
      </c>
      <c r="AA1" s="1" t="s">
        <v>162</v>
      </c>
      <c r="AB1" s="1" t="s">
        <v>35</v>
      </c>
      <c r="AC1" s="1" t="s">
        <v>36</v>
      </c>
      <c r="AD1" s="1" t="s">
        <v>94</v>
      </c>
    </row>
    <row r="2" spans="1:30" x14ac:dyDescent="0.2">
      <c r="A2" s="1" t="s">
        <v>37</v>
      </c>
      <c r="C2" s="1" t="b">
        <v>1</v>
      </c>
      <c r="D2" s="1" t="b">
        <v>1</v>
      </c>
      <c r="F2" s="1" t="b">
        <v>1</v>
      </c>
      <c r="G2" s="1" t="b">
        <v>1</v>
      </c>
      <c r="J2" s="1" t="b">
        <v>1</v>
      </c>
      <c r="K2" s="1" t="b">
        <v>1</v>
      </c>
      <c r="L2" s="1" t="b">
        <v>1</v>
      </c>
      <c r="M2" s="1" t="b">
        <v>1</v>
      </c>
      <c r="N2" s="1" t="b">
        <v>1</v>
      </c>
      <c r="O2" s="1" t="b">
        <v>1</v>
      </c>
      <c r="P2" s="1" t="b">
        <v>1</v>
      </c>
      <c r="Q2" s="1">
        <v>3</v>
      </c>
      <c r="R2" s="1">
        <v>40</v>
      </c>
      <c r="S2" s="1">
        <v>4</v>
      </c>
      <c r="T2" s="1" t="str">
        <f>_xlfn.CONCAT("c(",Q2,",",R2,")")</f>
        <v>c(3,40)</v>
      </c>
      <c r="U2" s="1">
        <v>1</v>
      </c>
      <c r="V2" s="1">
        <v>1</v>
      </c>
      <c r="X2" s="1" t="s">
        <v>119</v>
      </c>
      <c r="Y2" s="1" t="s">
        <v>119</v>
      </c>
      <c r="Z2" s="1" t="s">
        <v>122</v>
      </c>
      <c r="AA2" s="1" t="s">
        <v>119</v>
      </c>
      <c r="AB2" s="1" t="s">
        <v>135</v>
      </c>
      <c r="AC2" s="1" t="s">
        <v>135</v>
      </c>
    </row>
    <row r="3" spans="1:30" x14ac:dyDescent="0.2">
      <c r="A3" s="1" t="s">
        <v>38</v>
      </c>
      <c r="E3" s="1" t="b">
        <v>1</v>
      </c>
      <c r="H3" s="1" t="b">
        <v>1</v>
      </c>
      <c r="J3" s="1" t="b">
        <v>1</v>
      </c>
      <c r="K3" s="1" t="b">
        <v>1</v>
      </c>
      <c r="L3" s="1" t="b">
        <v>1</v>
      </c>
      <c r="M3" s="1" t="b">
        <v>1</v>
      </c>
      <c r="N3" s="1" t="b">
        <v>1</v>
      </c>
      <c r="O3" s="1" t="b">
        <v>1</v>
      </c>
      <c r="P3" s="1" t="b">
        <v>1</v>
      </c>
      <c r="Q3" s="1">
        <v>2</v>
      </c>
      <c r="R3" s="1">
        <v>40</v>
      </c>
      <c r="S3" s="1">
        <v>3</v>
      </c>
      <c r="T3" s="1" t="str">
        <f t="shared" ref="T3:T17" si="0">_xlfn.CONCAT("c(",Q3,",",R3,")")</f>
        <v>c(2,40)</v>
      </c>
      <c r="U3" s="1">
        <v>1</v>
      </c>
      <c r="V3" s="1">
        <v>1</v>
      </c>
      <c r="X3" s="1" t="s">
        <v>177</v>
      </c>
      <c r="Y3" s="1" t="s">
        <v>177</v>
      </c>
      <c r="Z3" s="1" t="s">
        <v>123</v>
      </c>
      <c r="AB3" s="1" t="s">
        <v>114</v>
      </c>
      <c r="AC3" s="1" t="s">
        <v>114</v>
      </c>
    </row>
    <row r="4" spans="1:30" x14ac:dyDescent="0.2">
      <c r="A4" s="1" t="s">
        <v>39</v>
      </c>
      <c r="E4" s="1" t="b">
        <v>1</v>
      </c>
      <c r="H4" s="1" t="b">
        <v>1</v>
      </c>
      <c r="J4" s="1" t="b">
        <v>1</v>
      </c>
      <c r="K4" s="1" t="b">
        <v>1</v>
      </c>
      <c r="L4" s="1" t="b">
        <v>1</v>
      </c>
      <c r="M4" s="1" t="b">
        <v>1</v>
      </c>
      <c r="N4" s="1" t="b">
        <v>1</v>
      </c>
      <c r="O4" s="1" t="b">
        <v>1</v>
      </c>
      <c r="P4" s="1" t="b">
        <v>1</v>
      </c>
      <c r="Q4" s="1">
        <v>2</v>
      </c>
      <c r="R4" s="1">
        <v>40</v>
      </c>
      <c r="S4" s="1">
        <v>3</v>
      </c>
      <c r="T4" s="1" t="str">
        <f t="shared" si="0"/>
        <v>c(2,40)</v>
      </c>
      <c r="U4" s="1">
        <v>1</v>
      </c>
      <c r="V4" s="1">
        <v>1</v>
      </c>
      <c r="X4" s="1" t="s">
        <v>177</v>
      </c>
      <c r="Y4" s="1" t="s">
        <v>177</v>
      </c>
      <c r="Z4" s="1" t="s">
        <v>124</v>
      </c>
      <c r="AB4" s="1" t="s">
        <v>115</v>
      </c>
      <c r="AC4" s="1" t="s">
        <v>115</v>
      </c>
    </row>
    <row r="5" spans="1:30" x14ac:dyDescent="0.2">
      <c r="A5" s="1" t="s">
        <v>186</v>
      </c>
      <c r="F5" s="1" t="b">
        <v>1</v>
      </c>
      <c r="J5" s="1" t="b">
        <v>1</v>
      </c>
      <c r="L5" s="1" t="b">
        <v>1</v>
      </c>
      <c r="M5" s="1" t="b">
        <v>1</v>
      </c>
      <c r="N5" s="1" t="b">
        <v>1</v>
      </c>
      <c r="O5" s="1" t="b">
        <v>1</v>
      </c>
      <c r="P5" s="1" t="b">
        <v>1</v>
      </c>
      <c r="Q5" s="1">
        <v>1</v>
      </c>
      <c r="R5" s="1">
        <v>40</v>
      </c>
      <c r="S5" s="1">
        <v>2</v>
      </c>
      <c r="T5" s="1" t="str">
        <f>_xlfn.CONCAT("c(",Q5,",",R5,")")</f>
        <v>c(1,40)</v>
      </c>
      <c r="U5" s="1">
        <v>1</v>
      </c>
      <c r="V5" s="1">
        <v>1</v>
      </c>
      <c r="AA5" s="1" t="s">
        <v>163</v>
      </c>
    </row>
    <row r="6" spans="1:30" x14ac:dyDescent="0.2">
      <c r="A6" s="1" t="s">
        <v>187</v>
      </c>
      <c r="F6" s="1" t="b">
        <v>1</v>
      </c>
      <c r="J6" s="1" t="b">
        <v>1</v>
      </c>
      <c r="L6" s="1" t="b">
        <v>1</v>
      </c>
      <c r="M6" s="1" t="b">
        <v>1</v>
      </c>
      <c r="N6" s="1" t="b">
        <v>1</v>
      </c>
      <c r="O6" s="1" t="b">
        <v>1</v>
      </c>
      <c r="P6" s="1" t="b">
        <v>1</v>
      </c>
      <c r="Q6" s="1">
        <v>1</v>
      </c>
      <c r="R6" s="1">
        <v>40</v>
      </c>
      <c r="S6" s="1">
        <v>2</v>
      </c>
      <c r="T6" s="1" t="str">
        <f>_xlfn.CONCAT("c(",Q6,",",R6,")")</f>
        <v>c(1,40)</v>
      </c>
      <c r="U6" s="1">
        <v>1</v>
      </c>
      <c r="V6" s="1">
        <v>1</v>
      </c>
      <c r="AA6" s="1" t="s">
        <v>164</v>
      </c>
    </row>
    <row r="7" spans="1:30" x14ac:dyDescent="0.2">
      <c r="A7" s="1" t="s">
        <v>40</v>
      </c>
      <c r="E7" s="1" t="b">
        <v>1</v>
      </c>
      <c r="F7" s="1" t="b">
        <v>1</v>
      </c>
      <c r="J7" s="1" t="b">
        <v>1</v>
      </c>
      <c r="K7" s="1" t="b">
        <v>1</v>
      </c>
      <c r="L7" s="1" t="b">
        <v>1</v>
      </c>
      <c r="M7" s="1" t="b">
        <v>1</v>
      </c>
      <c r="N7" s="1" t="b">
        <v>1</v>
      </c>
      <c r="O7" s="1" t="b">
        <v>1</v>
      </c>
      <c r="P7" s="1" t="b">
        <v>1</v>
      </c>
      <c r="Q7" s="1">
        <v>5</v>
      </c>
      <c r="R7" s="1">
        <v>150</v>
      </c>
      <c r="S7" s="1">
        <v>30</v>
      </c>
      <c r="T7" s="1" t="str">
        <f t="shared" si="0"/>
        <v>c(5,150)</v>
      </c>
      <c r="U7" s="1">
        <v>5</v>
      </c>
      <c r="V7" s="1">
        <v>5</v>
      </c>
      <c r="X7" s="1" t="s">
        <v>177</v>
      </c>
      <c r="Y7" s="1" t="s">
        <v>177</v>
      </c>
      <c r="Z7" s="1" t="s">
        <v>125</v>
      </c>
      <c r="AA7" s="1" t="s">
        <v>165</v>
      </c>
      <c r="AB7" s="1" t="s">
        <v>136</v>
      </c>
      <c r="AC7" s="1" t="s">
        <v>136</v>
      </c>
    </row>
    <row r="8" spans="1:30" x14ac:dyDescent="0.2">
      <c r="A8" s="1" t="s">
        <v>41</v>
      </c>
      <c r="B8" s="1" t="b">
        <v>1</v>
      </c>
      <c r="C8" s="1" t="b">
        <v>1</v>
      </c>
      <c r="D8" s="1" t="b">
        <v>1</v>
      </c>
      <c r="I8" s="1" t="b">
        <v>1</v>
      </c>
      <c r="J8" s="1" t="b">
        <v>1</v>
      </c>
      <c r="K8" s="1" t="b">
        <v>1</v>
      </c>
      <c r="L8" s="1" t="b">
        <v>1</v>
      </c>
      <c r="M8" s="1" t="b">
        <v>1</v>
      </c>
      <c r="N8" s="1" t="b">
        <v>1</v>
      </c>
      <c r="O8" s="1" t="b">
        <v>1</v>
      </c>
      <c r="P8" s="1" t="b">
        <v>1</v>
      </c>
      <c r="Q8" s="1">
        <v>5</v>
      </c>
      <c r="R8" s="1">
        <v>500</v>
      </c>
      <c r="S8" s="1">
        <v>20</v>
      </c>
      <c r="T8" s="1" t="str">
        <f t="shared" si="0"/>
        <v>c(5,500)</v>
      </c>
      <c r="U8" s="1">
        <v>5</v>
      </c>
      <c r="V8" s="1">
        <v>5</v>
      </c>
      <c r="W8" s="1" t="s">
        <v>116</v>
      </c>
      <c r="X8" s="1" t="s">
        <v>127</v>
      </c>
      <c r="Y8" s="1" t="s">
        <v>127</v>
      </c>
      <c r="Z8" s="1" t="s">
        <v>128</v>
      </c>
      <c r="AB8" s="1" t="s">
        <v>137</v>
      </c>
      <c r="AC8" s="1" t="s">
        <v>137</v>
      </c>
      <c r="AD8" s="1" t="s">
        <v>139</v>
      </c>
    </row>
    <row r="9" spans="1:30" x14ac:dyDescent="0.2">
      <c r="A9" s="1" t="s">
        <v>42</v>
      </c>
      <c r="B9" s="1" t="b">
        <v>1</v>
      </c>
      <c r="C9" s="1" t="b">
        <v>1</v>
      </c>
      <c r="D9" s="1" t="b">
        <v>1</v>
      </c>
      <c r="I9" s="1" t="b">
        <v>1</v>
      </c>
      <c r="J9" s="1" t="b">
        <v>1</v>
      </c>
      <c r="K9" s="1" t="b">
        <v>1</v>
      </c>
      <c r="L9" s="1" t="b">
        <v>1</v>
      </c>
      <c r="M9" s="1" t="b">
        <v>1</v>
      </c>
      <c r="N9" s="1" t="b">
        <v>1</v>
      </c>
      <c r="O9" s="1" t="b">
        <v>1</v>
      </c>
      <c r="P9" s="1" t="b">
        <v>1</v>
      </c>
      <c r="Q9" s="1">
        <v>5</v>
      </c>
      <c r="R9" s="1">
        <v>500</v>
      </c>
      <c r="S9" s="1">
        <v>20</v>
      </c>
      <c r="T9" s="1" t="str">
        <f t="shared" si="0"/>
        <v>c(5,500)</v>
      </c>
      <c r="U9" s="1">
        <v>5</v>
      </c>
      <c r="V9" s="1">
        <v>5</v>
      </c>
      <c r="W9" s="1" t="s">
        <v>117</v>
      </c>
      <c r="X9" s="1" t="s">
        <v>126</v>
      </c>
      <c r="Y9" s="1" t="s">
        <v>126</v>
      </c>
      <c r="Z9" s="1" t="s">
        <v>129</v>
      </c>
      <c r="AB9" s="1" t="s">
        <v>138</v>
      </c>
      <c r="AC9" s="1" t="s">
        <v>138</v>
      </c>
      <c r="AD9" s="1" t="s">
        <v>117</v>
      </c>
    </row>
    <row r="10" spans="1:30" x14ac:dyDescent="0.2">
      <c r="A10" s="1" t="s">
        <v>43</v>
      </c>
      <c r="G10" s="1" t="b">
        <v>1</v>
      </c>
      <c r="H10" s="1" t="b">
        <v>1</v>
      </c>
      <c r="J10" s="1" t="b">
        <v>1</v>
      </c>
      <c r="K10" s="1" t="b">
        <v>1</v>
      </c>
      <c r="L10" s="1" t="b">
        <v>1</v>
      </c>
      <c r="M10" s="1" t="b">
        <v>1</v>
      </c>
      <c r="N10" s="1" t="b">
        <v>1</v>
      </c>
      <c r="O10" s="1" t="b">
        <v>1</v>
      </c>
      <c r="P10" s="1" t="b">
        <v>1</v>
      </c>
      <c r="Q10" s="1">
        <v>2</v>
      </c>
      <c r="R10" s="1">
        <v>100</v>
      </c>
      <c r="S10" s="1">
        <f>Q10+2</f>
        <v>4</v>
      </c>
      <c r="T10" s="1" t="str">
        <f t="shared" si="0"/>
        <v>c(2,100)</v>
      </c>
      <c r="U10" s="1">
        <v>1</v>
      </c>
      <c r="V10" s="1">
        <v>1</v>
      </c>
      <c r="X10" s="1" t="s">
        <v>177</v>
      </c>
      <c r="Y10" s="1" t="s">
        <v>177</v>
      </c>
      <c r="Z10" s="1" t="s">
        <v>130</v>
      </c>
      <c r="AB10" s="1" t="s">
        <v>130</v>
      </c>
      <c r="AC10" s="1" t="s">
        <v>130</v>
      </c>
    </row>
    <row r="11" spans="1:30" x14ac:dyDescent="0.2">
      <c r="A11" s="1" t="s">
        <v>44</v>
      </c>
      <c r="G11" s="1" t="b">
        <v>1</v>
      </c>
      <c r="H11" s="1" t="b">
        <v>1</v>
      </c>
      <c r="J11" s="1" t="b">
        <v>1</v>
      </c>
      <c r="K11" s="1" t="b">
        <v>1</v>
      </c>
      <c r="L11" s="1" t="b">
        <v>1</v>
      </c>
      <c r="M11" s="1" t="b">
        <v>1</v>
      </c>
      <c r="N11" s="1" t="b">
        <v>1</v>
      </c>
      <c r="O11" s="1" t="b">
        <v>1</v>
      </c>
      <c r="P11" s="1" t="b">
        <v>1</v>
      </c>
      <c r="Q11" s="1">
        <v>2</v>
      </c>
      <c r="R11" s="1">
        <v>100</v>
      </c>
      <c r="S11" s="1">
        <f>Q11+2</f>
        <v>4</v>
      </c>
      <c r="T11" s="1" t="str">
        <f t="shared" si="0"/>
        <v>c(2,100)</v>
      </c>
      <c r="U11" s="1">
        <v>1</v>
      </c>
      <c r="V11" s="1">
        <v>1</v>
      </c>
      <c r="X11" s="1" t="s">
        <v>177</v>
      </c>
      <c r="Y11" s="1" t="s">
        <v>177</v>
      </c>
      <c r="Z11" s="1" t="s">
        <v>131</v>
      </c>
      <c r="AB11" s="1" t="s">
        <v>131</v>
      </c>
      <c r="AC11" s="1" t="s">
        <v>131</v>
      </c>
    </row>
    <row r="12" spans="1:30" x14ac:dyDescent="0.2">
      <c r="A12" s="1" t="s">
        <v>45</v>
      </c>
      <c r="C12" s="1" t="b">
        <v>1</v>
      </c>
      <c r="D12" s="1" t="b">
        <v>1</v>
      </c>
      <c r="E12" s="1" t="b">
        <v>1</v>
      </c>
      <c r="F12" s="1" t="b">
        <v>1</v>
      </c>
      <c r="G12" s="1" t="b">
        <v>1</v>
      </c>
      <c r="H12" s="1" t="b">
        <v>1</v>
      </c>
      <c r="J12" s="1" t="b">
        <v>1</v>
      </c>
      <c r="K12" s="1" t="b">
        <v>1</v>
      </c>
      <c r="L12" s="1" t="b">
        <v>1</v>
      </c>
      <c r="M12" s="1" t="b">
        <v>1</v>
      </c>
      <c r="P12" s="1" t="b">
        <v>1</v>
      </c>
      <c r="Q12" s="1">
        <v>0.01</v>
      </c>
      <c r="R12" s="1">
        <v>0.2</v>
      </c>
      <c r="S12" s="1">
        <v>0.1</v>
      </c>
      <c r="T12" s="1" t="str">
        <f t="shared" si="0"/>
        <v>c(0.01,0.2)</v>
      </c>
      <c r="U12" s="1">
        <v>0.01</v>
      </c>
      <c r="V12" s="1">
        <v>0.01</v>
      </c>
      <c r="X12" s="1" t="s">
        <v>120</v>
      </c>
      <c r="Y12" s="1" t="s">
        <v>178</v>
      </c>
      <c r="Z12" s="1" t="s">
        <v>120</v>
      </c>
      <c r="AA12" s="1" t="s">
        <v>166</v>
      </c>
      <c r="AB12" s="1" t="s">
        <v>120</v>
      </c>
      <c r="AC12" s="1" t="s">
        <v>120</v>
      </c>
    </row>
    <row r="13" spans="1:30" x14ac:dyDescent="0.2">
      <c r="A13" s="1" t="s">
        <v>46</v>
      </c>
      <c r="B13" s="1" t="b">
        <v>1</v>
      </c>
      <c r="C13" s="1" t="b">
        <v>1</v>
      </c>
      <c r="D13" s="1" t="b">
        <v>1</v>
      </c>
      <c r="E13" s="1" t="b">
        <v>1</v>
      </c>
      <c r="F13" s="1" t="b">
        <v>1</v>
      </c>
      <c r="J13" s="1" t="b">
        <v>1</v>
      </c>
      <c r="K13" s="1" t="b">
        <v>1</v>
      </c>
      <c r="M13" s="1" t="b">
        <v>1</v>
      </c>
      <c r="P13" s="1" t="b">
        <v>1</v>
      </c>
      <c r="Q13" s="1">
        <v>0</v>
      </c>
      <c r="R13" s="1">
        <v>0.99</v>
      </c>
      <c r="S13" s="1">
        <v>0.2</v>
      </c>
      <c r="T13" s="1" t="str">
        <f t="shared" si="0"/>
        <v>c(0,0.99)</v>
      </c>
      <c r="U13" s="1">
        <v>0.01</v>
      </c>
      <c r="V13" s="1">
        <v>0.01</v>
      </c>
      <c r="W13" s="1" t="s">
        <v>118</v>
      </c>
      <c r="X13" s="1" t="s">
        <v>121</v>
      </c>
      <c r="Y13" s="1" t="s">
        <v>121</v>
      </c>
      <c r="Z13" s="1" t="s">
        <v>121</v>
      </c>
      <c r="AA13" s="1" t="s">
        <v>121</v>
      </c>
      <c r="AB13" s="1" t="s">
        <v>121</v>
      </c>
      <c r="AC13" s="1" t="s">
        <v>121</v>
      </c>
    </row>
    <row r="14" spans="1:30" x14ac:dyDescent="0.2">
      <c r="A14" s="1" t="s">
        <v>47</v>
      </c>
      <c r="C14" s="1" t="b">
        <v>1</v>
      </c>
      <c r="E14" s="1" t="b">
        <v>1</v>
      </c>
      <c r="F14" s="1" t="b">
        <v>1</v>
      </c>
      <c r="J14" s="1" t="b">
        <v>1</v>
      </c>
      <c r="K14" s="1" t="b">
        <v>1</v>
      </c>
      <c r="M14" s="1" t="b">
        <v>1</v>
      </c>
      <c r="P14" s="1" t="b">
        <v>1</v>
      </c>
      <c r="Q14" s="1">
        <v>0</v>
      </c>
      <c r="R14" s="1">
        <v>0.99</v>
      </c>
      <c r="S14" s="1">
        <v>0.2</v>
      </c>
      <c r="T14" s="1" t="str">
        <f t="shared" si="0"/>
        <v>c(0,0.99)</v>
      </c>
      <c r="U14" s="1">
        <v>0.01</v>
      </c>
      <c r="V14" s="1">
        <v>0.01</v>
      </c>
      <c r="X14" s="1" t="s">
        <v>52</v>
      </c>
      <c r="Z14" s="1" t="s">
        <v>132</v>
      </c>
      <c r="AA14" s="1" t="s">
        <v>167</v>
      </c>
      <c r="AB14" s="3" t="s">
        <v>133</v>
      </c>
      <c r="AC14" s="3" t="s">
        <v>133</v>
      </c>
    </row>
    <row r="15" spans="1:30" x14ac:dyDescent="0.2">
      <c r="A15" s="1" t="s">
        <v>48</v>
      </c>
      <c r="G15" s="1" t="b">
        <v>1</v>
      </c>
      <c r="H15" s="1" t="b">
        <v>1</v>
      </c>
      <c r="I15" s="1" t="b">
        <v>1</v>
      </c>
      <c r="J15" s="1" t="b">
        <v>1</v>
      </c>
      <c r="K15" s="1" t="b">
        <v>1</v>
      </c>
      <c r="L15" s="1" t="b">
        <v>1</v>
      </c>
      <c r="M15" s="1" t="b">
        <v>1</v>
      </c>
      <c r="P15" s="1" t="b">
        <v>1</v>
      </c>
      <c r="Q15" s="1">
        <v>0</v>
      </c>
      <c r="R15" s="1">
        <v>0.99</v>
      </c>
      <c r="S15" s="1">
        <v>0.25</v>
      </c>
      <c r="T15" s="1" t="str">
        <f t="shared" si="0"/>
        <v>c(0,0.99)</v>
      </c>
      <c r="U15" s="1">
        <v>0.01</v>
      </c>
      <c r="V15" s="1">
        <v>0.01</v>
      </c>
      <c r="X15" s="1" t="s">
        <v>49</v>
      </c>
      <c r="Z15" s="1" t="s">
        <v>49</v>
      </c>
      <c r="AB15" s="1" t="s">
        <v>49</v>
      </c>
      <c r="AC15" s="1" t="s">
        <v>49</v>
      </c>
      <c r="AD15" s="1" t="s">
        <v>95</v>
      </c>
    </row>
    <row r="16" spans="1:30" x14ac:dyDescent="0.2">
      <c r="A16" s="1" t="s">
        <v>50</v>
      </c>
      <c r="B16" s="1" t="b">
        <v>1</v>
      </c>
      <c r="C16" s="1" t="b">
        <v>1</v>
      </c>
      <c r="D16" s="1" t="b">
        <v>1</v>
      </c>
      <c r="E16" s="1" t="b">
        <v>1</v>
      </c>
      <c r="F16" s="1" t="b">
        <v>1</v>
      </c>
      <c r="J16" s="1" t="b">
        <v>1</v>
      </c>
      <c r="K16" s="1" t="b">
        <v>1</v>
      </c>
      <c r="M16" s="1" t="b">
        <v>1</v>
      </c>
      <c r="O16" s="1" t="b">
        <v>1</v>
      </c>
      <c r="P16" s="1" t="b">
        <v>1</v>
      </c>
      <c r="Q16" s="1">
        <v>1</v>
      </c>
      <c r="R16" s="1">
        <v>3</v>
      </c>
      <c r="S16" s="1">
        <v>1</v>
      </c>
      <c r="T16" s="1" t="str">
        <f t="shared" si="0"/>
        <v>c(1,3)</v>
      </c>
      <c r="U16" s="1">
        <v>1</v>
      </c>
      <c r="V16" s="1">
        <v>1</v>
      </c>
      <c r="W16" s="1" t="s">
        <v>51</v>
      </c>
      <c r="X16" s="1" t="s">
        <v>134</v>
      </c>
      <c r="Y16" s="1" t="s">
        <v>134</v>
      </c>
      <c r="Z16" s="1" t="s">
        <v>134</v>
      </c>
      <c r="AA16" s="1" t="s">
        <v>134</v>
      </c>
      <c r="AB16" s="1" t="s">
        <v>134</v>
      </c>
      <c r="AC16" s="1" t="s">
        <v>134</v>
      </c>
    </row>
    <row r="17" spans="1:29" x14ac:dyDescent="0.2">
      <c r="A17" s="1" t="s">
        <v>144</v>
      </c>
      <c r="C17" s="1" t="b">
        <v>1</v>
      </c>
      <c r="K17" s="1" t="b">
        <v>1</v>
      </c>
      <c r="L17" s="1" t="b">
        <v>1</v>
      </c>
      <c r="M17" s="1" t="b">
        <v>1</v>
      </c>
      <c r="P17" s="1" t="b">
        <v>1</v>
      </c>
      <c r="Q17" s="1">
        <v>0.01</v>
      </c>
      <c r="R17" s="1">
        <v>3.25</v>
      </c>
      <c r="S17" s="1">
        <v>0.15</v>
      </c>
      <c r="T17" s="1" t="str">
        <f t="shared" si="0"/>
        <v>c(0.01,3.25)</v>
      </c>
      <c r="U17" s="1">
        <v>0.01</v>
      </c>
      <c r="V17" s="1">
        <v>0.01</v>
      </c>
      <c r="X17" s="1" t="s">
        <v>143</v>
      </c>
      <c r="AB17" s="1" t="s">
        <v>53</v>
      </c>
      <c r="AC17" s="1" t="s">
        <v>53</v>
      </c>
    </row>
  </sheetData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D9501-1928-C24A-A5F8-EF63F20DDAEF}">
  <dimension ref="A1:E46"/>
  <sheetViews>
    <sheetView workbookViewId="0">
      <selection activeCell="B1" sqref="B1"/>
    </sheetView>
  </sheetViews>
  <sheetFormatPr baseColWidth="10" defaultColWidth="11.33203125" defaultRowHeight="15" x14ac:dyDescent="0.2"/>
  <cols>
    <col min="1" max="1" width="33.5" style="4" bestFit="1" customWidth="1"/>
    <col min="2" max="2" width="33.5" style="4" customWidth="1"/>
    <col min="3" max="3" width="42.1640625" style="5" bestFit="1" customWidth="1"/>
    <col min="4" max="4" width="13.5" style="5" customWidth="1"/>
    <col min="5" max="5" width="92.6640625" style="5" bestFit="1" customWidth="1"/>
    <col min="6" max="16384" width="11.33203125" style="5"/>
  </cols>
  <sheetData>
    <row r="1" spans="1:5" x14ac:dyDescent="0.2">
      <c r="A1" s="4" t="s">
        <v>54</v>
      </c>
    </row>
    <row r="2" spans="1:5" x14ac:dyDescent="0.2">
      <c r="A2" s="4" t="s">
        <v>55</v>
      </c>
      <c r="B2" s="4" t="s">
        <v>174</v>
      </c>
      <c r="C2" s="5" t="s">
        <v>56</v>
      </c>
    </row>
    <row r="3" spans="1:5" x14ac:dyDescent="0.2">
      <c r="A3" s="4" t="s">
        <v>57</v>
      </c>
      <c r="B3" s="4" t="s">
        <v>174</v>
      </c>
      <c r="C3" s="5" t="s">
        <v>58</v>
      </c>
    </row>
    <row r="4" spans="1:5" x14ac:dyDescent="0.2">
      <c r="A4" s="4" t="s">
        <v>59</v>
      </c>
      <c r="B4" s="4" t="s">
        <v>174</v>
      </c>
      <c r="C4" s="5" t="s">
        <v>60</v>
      </c>
      <c r="D4" s="5" t="s">
        <v>145</v>
      </c>
      <c r="E4" s="5" t="s">
        <v>147</v>
      </c>
    </row>
    <row r="5" spans="1:5" x14ac:dyDescent="0.2">
      <c r="A5" s="4" t="s">
        <v>61</v>
      </c>
      <c r="B5" s="4" t="s">
        <v>174</v>
      </c>
      <c r="C5" s="5" t="s">
        <v>56</v>
      </c>
    </row>
    <row r="6" spans="1:5" x14ac:dyDescent="0.2">
      <c r="A6" s="4" t="s">
        <v>62</v>
      </c>
      <c r="B6" s="4" t="s">
        <v>174</v>
      </c>
      <c r="C6" s="5" t="s">
        <v>63</v>
      </c>
    </row>
    <row r="7" spans="1:5" x14ac:dyDescent="0.2">
      <c r="A7" s="4" t="s">
        <v>64</v>
      </c>
      <c r="B7" s="4" t="s">
        <v>174</v>
      </c>
      <c r="C7" s="5" t="s">
        <v>60</v>
      </c>
      <c r="D7" s="5" t="s">
        <v>145</v>
      </c>
      <c r="E7" s="5" t="s">
        <v>146</v>
      </c>
    </row>
    <row r="8" spans="1:5" x14ac:dyDescent="0.2">
      <c r="A8" s="4" t="s">
        <v>65</v>
      </c>
      <c r="B8" s="4" t="s">
        <v>174</v>
      </c>
      <c r="C8" s="5" t="s">
        <v>66</v>
      </c>
    </row>
    <row r="9" spans="1:5" x14ac:dyDescent="0.2">
      <c r="A9" s="4" t="s">
        <v>67</v>
      </c>
      <c r="B9" s="4" t="s">
        <v>174</v>
      </c>
      <c r="C9" s="5" t="s">
        <v>151</v>
      </c>
    </row>
    <row r="10" spans="1:5" x14ac:dyDescent="0.2">
      <c r="A10" s="4" t="s">
        <v>68</v>
      </c>
      <c r="B10" s="4" t="s">
        <v>174</v>
      </c>
      <c r="C10" s="5" t="s">
        <v>60</v>
      </c>
      <c r="D10" s="5" t="s">
        <v>145</v>
      </c>
      <c r="E10" s="5" t="s">
        <v>157</v>
      </c>
    </row>
    <row r="11" spans="1:5" x14ac:dyDescent="0.2">
      <c r="A11" s="4" t="s">
        <v>69</v>
      </c>
      <c r="B11" s="4" t="s">
        <v>174</v>
      </c>
      <c r="C11" s="5" t="s">
        <v>66</v>
      </c>
    </row>
    <row r="12" spans="1:5" x14ac:dyDescent="0.2">
      <c r="A12" s="4" t="s">
        <v>70</v>
      </c>
      <c r="B12" s="4" t="s">
        <v>174</v>
      </c>
      <c r="C12" s="5" t="s">
        <v>152</v>
      </c>
    </row>
    <row r="13" spans="1:5" x14ac:dyDescent="0.2">
      <c r="A13" s="4" t="s">
        <v>71</v>
      </c>
      <c r="B13" s="4" t="s">
        <v>174</v>
      </c>
      <c r="C13" s="5" t="s">
        <v>60</v>
      </c>
      <c r="D13" s="5" t="s">
        <v>145</v>
      </c>
      <c r="E13" s="5" t="s">
        <v>158</v>
      </c>
    </row>
    <row r="14" spans="1:5" x14ac:dyDescent="0.2">
      <c r="A14" s="4" t="s">
        <v>72</v>
      </c>
      <c r="B14" s="4" t="s">
        <v>174</v>
      </c>
      <c r="C14" s="5" t="s">
        <v>66</v>
      </c>
    </row>
    <row r="15" spans="1:5" x14ac:dyDescent="0.2">
      <c r="A15" s="4" t="s">
        <v>73</v>
      </c>
      <c r="B15" s="4" t="s">
        <v>174</v>
      </c>
      <c r="C15" s="5" t="s">
        <v>151</v>
      </c>
    </row>
    <row r="16" spans="1:5" x14ac:dyDescent="0.2">
      <c r="A16" s="4" t="s">
        <v>74</v>
      </c>
      <c r="B16" s="4" t="s">
        <v>174</v>
      </c>
      <c r="C16" s="5" t="s">
        <v>60</v>
      </c>
      <c r="D16" s="5" t="s">
        <v>145</v>
      </c>
      <c r="E16" s="5" t="s">
        <v>156</v>
      </c>
    </row>
    <row r="17" spans="1:5" x14ac:dyDescent="0.2">
      <c r="A17" s="4" t="s">
        <v>75</v>
      </c>
      <c r="B17" s="4" t="s">
        <v>174</v>
      </c>
      <c r="C17" s="5" t="s">
        <v>66</v>
      </c>
    </row>
    <row r="18" spans="1:5" x14ac:dyDescent="0.2">
      <c r="A18" s="4" t="s">
        <v>76</v>
      </c>
      <c r="B18" s="4" t="s">
        <v>174</v>
      </c>
      <c r="C18" s="5" t="s">
        <v>152</v>
      </c>
    </row>
    <row r="19" spans="1:5" x14ac:dyDescent="0.2">
      <c r="A19" s="4" t="s">
        <v>77</v>
      </c>
      <c r="B19" s="4" t="s">
        <v>174</v>
      </c>
      <c r="C19" s="5" t="s">
        <v>60</v>
      </c>
      <c r="D19" s="5" t="s">
        <v>145</v>
      </c>
      <c r="E19" s="5" t="s">
        <v>155</v>
      </c>
    </row>
    <row r="20" spans="1:5" x14ac:dyDescent="0.2">
      <c r="A20" s="4" t="s">
        <v>179</v>
      </c>
      <c r="B20" s="4" t="s">
        <v>174</v>
      </c>
      <c r="C20" s="5" t="s">
        <v>66</v>
      </c>
    </row>
    <row r="21" spans="1:5" x14ac:dyDescent="0.2">
      <c r="A21" s="4" t="s">
        <v>180</v>
      </c>
      <c r="B21" s="4" t="s">
        <v>174</v>
      </c>
      <c r="C21" s="5" t="s">
        <v>151</v>
      </c>
    </row>
    <row r="22" spans="1:5" x14ac:dyDescent="0.2">
      <c r="A22" s="4" t="s">
        <v>181</v>
      </c>
      <c r="B22" s="4" t="s">
        <v>174</v>
      </c>
      <c r="C22" s="5" t="s">
        <v>60</v>
      </c>
      <c r="D22" s="5" t="s">
        <v>145</v>
      </c>
      <c r="E22" s="5" t="s">
        <v>157</v>
      </c>
    </row>
    <row r="23" spans="1:5" x14ac:dyDescent="0.2">
      <c r="A23" s="4" t="s">
        <v>182</v>
      </c>
      <c r="B23" s="4" t="s">
        <v>174</v>
      </c>
      <c r="C23" s="5" t="s">
        <v>66</v>
      </c>
    </row>
    <row r="24" spans="1:5" x14ac:dyDescent="0.2">
      <c r="A24" s="4" t="s">
        <v>183</v>
      </c>
      <c r="B24" s="4" t="s">
        <v>174</v>
      </c>
      <c r="C24" s="5" t="s">
        <v>152</v>
      </c>
    </row>
    <row r="25" spans="1:5" x14ac:dyDescent="0.2">
      <c r="A25" s="4" t="s">
        <v>184</v>
      </c>
      <c r="B25" s="4" t="s">
        <v>174</v>
      </c>
      <c r="C25" s="5" t="s">
        <v>60</v>
      </c>
      <c r="D25" s="5" t="s">
        <v>145</v>
      </c>
      <c r="E25" s="5" t="s">
        <v>185</v>
      </c>
    </row>
    <row r="26" spans="1:5" x14ac:dyDescent="0.2">
      <c r="A26" s="4" t="s">
        <v>78</v>
      </c>
      <c r="B26" s="4" t="s">
        <v>174</v>
      </c>
      <c r="C26" s="5" t="s">
        <v>79</v>
      </c>
    </row>
    <row r="27" spans="1:5" x14ac:dyDescent="0.2">
      <c r="A27" s="4" t="s">
        <v>80</v>
      </c>
      <c r="B27" s="4" t="s">
        <v>174</v>
      </c>
      <c r="C27" s="5" t="s">
        <v>81</v>
      </c>
    </row>
    <row r="28" spans="1:5" x14ac:dyDescent="0.2">
      <c r="A28" s="4" t="s">
        <v>82</v>
      </c>
      <c r="B28" s="4" t="s">
        <v>174</v>
      </c>
      <c r="C28" s="5" t="s">
        <v>83</v>
      </c>
      <c r="D28" s="5" t="s">
        <v>148</v>
      </c>
      <c r="E28" s="5" t="s">
        <v>153</v>
      </c>
    </row>
    <row r="29" spans="1:5" x14ac:dyDescent="0.2">
      <c r="A29" s="4" t="s">
        <v>84</v>
      </c>
      <c r="B29" s="4" t="s">
        <v>174</v>
      </c>
      <c r="C29" s="5" t="s">
        <v>79</v>
      </c>
    </row>
    <row r="30" spans="1:5" x14ac:dyDescent="0.2">
      <c r="A30" s="4" t="s">
        <v>85</v>
      </c>
      <c r="B30" s="4" t="s">
        <v>174</v>
      </c>
      <c r="C30" s="5" t="s">
        <v>149</v>
      </c>
    </row>
    <row r="31" spans="1:5" x14ac:dyDescent="0.2">
      <c r="A31" s="4" t="s">
        <v>86</v>
      </c>
      <c r="B31" s="4" t="s">
        <v>174</v>
      </c>
      <c r="C31" s="5" t="s">
        <v>83</v>
      </c>
      <c r="D31" s="5" t="s">
        <v>148</v>
      </c>
      <c r="E31" s="5" t="s">
        <v>154</v>
      </c>
    </row>
    <row r="32" spans="1:5" x14ac:dyDescent="0.2">
      <c r="A32" s="4" t="s">
        <v>168</v>
      </c>
      <c r="B32" s="4" t="s">
        <v>174</v>
      </c>
      <c r="C32" s="5" t="s">
        <v>195</v>
      </c>
    </row>
    <row r="33" spans="1:5" x14ac:dyDescent="0.2">
      <c r="A33" s="4" t="s">
        <v>169</v>
      </c>
      <c r="B33" s="4" t="s">
        <v>174</v>
      </c>
      <c r="C33" s="5" t="s">
        <v>188</v>
      </c>
    </row>
    <row r="34" spans="1:5" x14ac:dyDescent="0.2">
      <c r="A34" s="4" t="s">
        <v>170</v>
      </c>
      <c r="B34" s="4" t="s">
        <v>194</v>
      </c>
      <c r="C34" s="5" t="s">
        <v>189</v>
      </c>
      <c r="D34" s="5" t="s">
        <v>190</v>
      </c>
      <c r="E34" s="5" t="s">
        <v>191</v>
      </c>
    </row>
    <row r="35" spans="1:5" x14ac:dyDescent="0.2">
      <c r="A35" s="4" t="s">
        <v>171</v>
      </c>
      <c r="B35" s="4" t="s">
        <v>174</v>
      </c>
      <c r="C35" s="5" t="s">
        <v>195</v>
      </c>
    </row>
    <row r="36" spans="1:5" x14ac:dyDescent="0.2">
      <c r="A36" s="4" t="s">
        <v>172</v>
      </c>
      <c r="B36" s="4" t="s">
        <v>174</v>
      </c>
      <c r="C36" s="5" t="s">
        <v>192</v>
      </c>
    </row>
    <row r="37" spans="1:5" x14ac:dyDescent="0.2">
      <c r="A37" s="4" t="s">
        <v>173</v>
      </c>
      <c r="B37" s="4" t="s">
        <v>194</v>
      </c>
      <c r="C37" s="6" t="s">
        <v>189</v>
      </c>
      <c r="D37" s="5" t="s">
        <v>190</v>
      </c>
      <c r="E37" s="5" t="s">
        <v>193</v>
      </c>
    </row>
    <row r="38" spans="1:5" x14ac:dyDescent="0.2">
      <c r="A38" s="4" t="s">
        <v>96</v>
      </c>
      <c r="B38" s="4" t="s">
        <v>174</v>
      </c>
      <c r="C38" s="5" t="s">
        <v>56</v>
      </c>
    </row>
    <row r="39" spans="1:5" x14ac:dyDescent="0.2">
      <c r="A39" s="4" t="s">
        <v>97</v>
      </c>
      <c r="B39" s="4" t="s">
        <v>174</v>
      </c>
      <c r="C39" s="5" t="s">
        <v>58</v>
      </c>
    </row>
    <row r="40" spans="1:5" x14ac:dyDescent="0.2">
      <c r="A40" s="4" t="s">
        <v>98</v>
      </c>
      <c r="B40" s="5" t="s">
        <v>150</v>
      </c>
      <c r="C40" s="5" t="s">
        <v>99</v>
      </c>
    </row>
    <row r="41" spans="1:5" x14ac:dyDescent="0.2">
      <c r="A41" s="4" t="s">
        <v>87</v>
      </c>
    </row>
    <row r="42" spans="1:5" x14ac:dyDescent="0.2">
      <c r="A42" s="4" t="s">
        <v>88</v>
      </c>
    </row>
    <row r="43" spans="1:5" x14ac:dyDescent="0.2">
      <c r="A43" s="4" t="s">
        <v>89</v>
      </c>
    </row>
    <row r="44" spans="1:5" x14ac:dyDescent="0.2">
      <c r="A44" s="4" t="s">
        <v>90</v>
      </c>
    </row>
    <row r="45" spans="1:5" x14ac:dyDescent="0.2">
      <c r="A45" s="4" t="s">
        <v>91</v>
      </c>
    </row>
    <row r="46" spans="1:5" x14ac:dyDescent="0.2">
      <c r="A46" s="4" t="s">
        <v>92</v>
      </c>
    </row>
  </sheetData>
  <pageMargins left="0.7" right="0.7" top="0.75" bottom="0.75" header="0.3" footer="0.3"/>
  <pageSetup orientation="portrait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sample</vt:lpstr>
      <vt:lpstr>design</vt:lpstr>
      <vt:lpstr>inference</vt:lpstr>
      <vt:lpstr>model</vt:lpstr>
      <vt:lpstr>stat</vt:lpstr>
      <vt:lpstr>input</vt:lpstr>
      <vt:lpstr>code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E. C. Hedberg</dc:creator>
  <cp:keywords/>
  <dc:description/>
  <cp:lastModifiedBy>ech</cp:lastModifiedBy>
  <cp:revision/>
  <dcterms:created xsi:type="dcterms:W3CDTF">2020-02-13T11:03:16Z</dcterms:created>
  <dcterms:modified xsi:type="dcterms:W3CDTF">2022-07-07T21:59:22Z</dcterms:modified>
  <cp:category/>
  <cp:contentStatus/>
</cp:coreProperties>
</file>